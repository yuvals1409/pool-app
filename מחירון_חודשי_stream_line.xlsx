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חירון חודשי" sheetId="1" state="visible" r:id="rId3"/>
    <sheet name="השוואה רב-שנתי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<sst xmlns="http://schemas.openxmlformats.org/spreadsheetml/2006/main" count="83" uniqueCount="75">
  <si>
    <t xml:space="preserve">מחירון Stream Line — מודל חודשי בלבד (ללא דמי הקמה)</t>
  </si>
  <si>
    <t xml:space="preserve">לעיניי יובל בלבד — מסמך פנימי</t>
  </si>
  <si>
    <t xml:space="preserve">השוואה: מודל הקמה+חודשי מול מודל חודשי בלבד</t>
  </si>
  <si>
    <t xml:space="preserve">מוצר</t>
  </si>
  <si>
    <t xml:space="preserve">הקמה (חד פעמי)</t>
  </si>
  <si>
    <t xml:space="preserve">חודשי (מודל נוכחי)</t>
  </si>
  <si>
    <t xml:space="preserve">שנתי (מודל נוכחי)</t>
  </si>
  <si>
    <t xml:space="preserve">חודשי 12 חודשים</t>
  </si>
  <si>
    <t xml:space="preserve">חודשי 18 חודשים</t>
  </si>
  <si>
    <t xml:space="preserve">חודשי 24 חודשים</t>
  </si>
  <si>
    <t xml:space="preserve">CRM — ניהול בית ספר לשחייה</t>
  </si>
  <si>
    <t xml:space="preserve">PayMe — סליקת תשלומים</t>
  </si>
  <si>
    <t xml:space="preserve">WhatsApp Business — תקשורת</t>
  </si>
  <si>
    <t xml:space="preserve">טפסים דיגיטליים</t>
  </si>
  <si>
    <t xml:space="preserve">סה"כ</t>
  </si>
  <si>
    <t xml:space="preserve">עלות שנתית כוללת</t>
  </si>
  <si>
    <t xml:space="preserve">—</t>
  </si>
  <si>
    <t xml:space="preserve">% ממחזור שנתי (9.3M₪)</t>
  </si>
  <si>
    <t xml:space="preserve">מדרגות הנחה — מודל חודשי (התחייבות 12 חודשים)</t>
  </si>
  <si>
    <t xml:space="preserve">מחירון (12 חודש)</t>
  </si>
  <si>
    <t xml:space="preserve">הנחה 15%</t>
  </si>
  <si>
    <t xml:space="preserve">מחיר אחרי 15%</t>
  </si>
  <si>
    <t xml:space="preserve">הנחה 25%</t>
  </si>
  <si>
    <t xml:space="preserve">מחיר אחרי 25%</t>
  </si>
  <si>
    <t xml:space="preserve">רצפה מוחלטת</t>
  </si>
  <si>
    <t xml:space="preserve">סה"כ חודשי</t>
  </si>
  <si>
    <t xml:space="preserve">סה"כ שנתי</t>
  </si>
  <si>
    <t xml:space="preserve">בונוס: דפי נחיתה (ללא עלות נוספת בהתחייבות שנתית)</t>
  </si>
  <si>
    <t xml:space="preserve">דפי נחיתה ממירים</t>
  </si>
  <si>
    <t xml:space="preserve">כלול בחבילה</t>
  </si>
  <si>
    <t xml:space="preserve">שווי שוק: 15,000-25,000₪</t>
  </si>
  <si>
    <t xml:space="preserve">ניתוח ROI — מודל חודשי מול מודל הקמה+חודשי</t>
  </si>
  <si>
    <t xml:space="preserve">מדד</t>
  </si>
  <si>
    <t xml:space="preserve">ערך</t>
  </si>
  <si>
    <t xml:space="preserve">הערה</t>
  </si>
  <si>
    <t xml:space="preserve">חיסכון שנתי משוער</t>
  </si>
  <si>
    <t xml:space="preserve">אוטומציה, חיסכון בזמן, הפחתת טעויות</t>
  </si>
  <si>
    <t xml:space="preserve">עלות שנה 1 — הקמה+חודשי</t>
  </si>
  <si>
    <t xml:space="preserve">תשלום גדול מראש, חודשי נמוך</t>
  </si>
  <si>
    <t xml:space="preserve">עלות שנה 1 — חודשי 12</t>
  </si>
  <si>
    <t xml:space="preserve">ללא תשלום מראש, יקר יותר שנתית</t>
  </si>
  <si>
    <t xml:space="preserve">עלות שנה 1 — חודשי 18</t>
  </si>
  <si>
    <t xml:space="preserve">איזון בין חודשי סביר להתחייבות ארוכה</t>
  </si>
  <si>
    <t xml:space="preserve">עלות שנה 1 — חודשי 24</t>
  </si>
  <si>
    <t xml:space="preserve">הכי זול חודשית, התחייבות ארוכה ביותר</t>
  </si>
  <si>
    <t xml:space="preserve">ROI שנה 1 (חודשי 12)</t>
  </si>
  <si>
    <t xml:space="preserve">חיסכון נטו גם בשנה הראשונה!</t>
  </si>
  <si>
    <t xml:space="preserve">אסטרטגיית מכירה — מודל חודשי</t>
  </si>
  <si>
    <t xml:space="preserve">יתרון ללקוח</t>
  </si>
  <si>
    <t xml:space="preserve">אין חסם כניסה — ללא תשלום מראש, פחות סיכון</t>
  </si>
  <si>
    <t xml:space="preserve">יתרון לך</t>
  </si>
  <si>
    <t xml:space="preserve">הכנסה חודשית קבועה גבוהה יותר, תזרים מזומנים יציב</t>
  </si>
  <si>
    <t xml:space="preserve">התחייבות מינימלית</t>
  </si>
  <si>
    <t xml:space="preserve">12 חודשים — סטנדרט בשוק SaaS</t>
  </si>
  <si>
    <t xml:space="preserve">אחרי תקופת ההתחייבות</t>
  </si>
  <si>
    <t xml:space="preserve">חודש בחודש במחיר חודשי רגיל (ללא הפריסה)</t>
  </si>
  <si>
    <t xml:space="preserve">דפי נחיתה</t>
  </si>
  <si>
    <t xml:space="preserve">בונוס בהתחייבות שנתית — מוטיבציה לחתום</t>
  </si>
  <si>
    <t xml:space="preserve">הנחה מקסימלית בפגישה 1</t>
  </si>
  <si>
    <t xml:space="preserve">15% — השאר 25% לפגישה שנייה</t>
  </si>
  <si>
    <t xml:space="preserve">רצפה</t>
  </si>
  <si>
    <t xml:space="preserve">25% — מתחת לזה לא יורדים בשום מצב</t>
  </si>
  <si>
    <t xml:space="preserve">השוואה רב-שנתית: הקמה+חודשי מול חודשי בלבד</t>
  </si>
  <si>
    <t xml:space="preserve">שנה</t>
  </si>
  <si>
    <t xml:space="preserve">הקמה+חודשי (מצטבר)</t>
  </si>
  <si>
    <t xml:space="preserve">חודשי 12 (מצטבר)</t>
  </si>
  <si>
    <t xml:space="preserve">חודשי 18 (מצטבר)</t>
  </si>
  <si>
    <t xml:space="preserve">חודשי 24 (מצטבר)</t>
  </si>
  <si>
    <t xml:space="preserve">שנה 1</t>
  </si>
  <si>
    <t xml:space="preserve">שנה 2</t>
  </si>
  <si>
    <t xml:space="preserve">שנה 3</t>
  </si>
  <si>
    <t xml:space="preserve">שנה 4</t>
  </si>
  <si>
    <t xml:space="preserve">שנה 5</t>
  </si>
  <si>
    <t xml:space="preserve">💡 במודל הקמה+חודשי הלקוח משלם יותר בשנה 1, פחות משנה 2. במודל חודשי — תשלום אחיד ללא חסם כניסה.</t>
  </si>
  <si>
    <t xml:space="preserve">💡 מודל 18 חודש = האיזון הטוב ביותר — חודשי סביר + התחייבות לא ארוכה מדי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</si>
</sst>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₪&quot;"/>
    <numFmt numFmtId="166" formatCode="0.00%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2B5A8C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2B5A8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9C4"/>
        <bgColor rgb="FFFFF3E0"/>
      </patternFill>
    </fill>
    <fill>
      <patternFill patternType="solid">
        <fgColor rgb="FF2B5A8C"/>
        <bgColor rgb="FF1E3A5F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FFF3E0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66"/>
      <rgbColor rgb="FF969696"/>
      <rgbColor rgb="FF1E3A5F"/>
      <rgbColor rgb="FF27AE60"/>
      <rgbColor rgb="FF003300"/>
      <rgbColor rgb="FF333300"/>
      <rgbColor rgb="FFC0392B"/>
      <rgbColor rgb="FF993366"/>
      <rgbColor rgb="FF2B5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  <col collapsed="false" customWidth="true" hidden="false" outlineLevel="0" max="7" min="7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18000</v>
      </c>
      <c r="C6" s="6" t="n">
        <v>2000</v>
      </c>
      <c r="D6" s="6" t="n">
        <f aca="false">B6+C6*12</f>
        <v>42000</v>
      </c>
      <c r="E6" s="7" t="n">
        <f aca="false">ROUND(B6/12+C6,0)</f>
        <v>3500</v>
      </c>
      <c r="F6" s="8" t="n">
        <f aca="false">ROUND(B6/18+C6,0)</f>
        <v>3000</v>
      </c>
      <c r="G6" s="6" t="n">
        <f aca="false">ROUND(B6/24+C6,0)</f>
        <v>2750</v>
      </c>
    </row>
    <row r="7" customFormat="false" ht="15" hidden="false" customHeight="false" outlineLevel="0" collapsed="false">
      <c r="A7" s="9" t="s">
        <v>11</v>
      </c>
      <c r="B7" s="6" t="n">
        <v>10000</v>
      </c>
      <c r="C7" s="6" t="n">
        <v>600</v>
      </c>
      <c r="D7" s="6" t="n">
        <f aca="false">B7+C7*12</f>
        <v>17200</v>
      </c>
      <c r="E7" s="7" t="n">
        <f aca="false">ROUND(B7/12+C7,0)</f>
        <v>1433</v>
      </c>
      <c r="F7" s="8" t="n">
        <f aca="false">ROUND(B7/18+C7,0)</f>
        <v>1156</v>
      </c>
      <c r="G7" s="6" t="n">
        <f aca="false">ROUND(B7/24+C7,0)</f>
        <v>1017</v>
      </c>
    </row>
    <row r="8" customFormat="false" ht="26.85" hidden="false" customHeight="false" outlineLevel="0" collapsed="false">
      <c r="A8" s="5" t="s">
        <v>12</v>
      </c>
      <c r="B8" s="6" t="n">
        <v>12000</v>
      </c>
      <c r="C8" s="6" t="n">
        <v>1200</v>
      </c>
      <c r="D8" s="6" t="n">
        <f aca="false">B8+C8*12</f>
        <v>26400</v>
      </c>
      <c r="E8" s="7" t="n">
        <f aca="false">ROUND(B8/12+C8,0)</f>
        <v>2200</v>
      </c>
      <c r="F8" s="8" t="n">
        <f aca="false">ROUND(B8/18+C8,0)</f>
        <v>1867</v>
      </c>
      <c r="G8" s="6" t="n">
        <f aca="false">ROUND(B8/24+C8,0)</f>
        <v>1700</v>
      </c>
    </row>
    <row r="9" customFormat="false" ht="15" hidden="false" customHeight="false" outlineLevel="0" collapsed="false">
      <c r="A9" s="9" t="s">
        <v>13</v>
      </c>
      <c r="B9" s="6" t="n">
        <v>15000</v>
      </c>
      <c r="C9" s="6" t="n">
        <v>400</v>
      </c>
      <c r="D9" s="6" t="n">
        <f aca="false">B9+C9*12</f>
        <v>19800</v>
      </c>
      <c r="E9" s="7" t="n">
        <f aca="false">ROUND(B9/12+C9,0)</f>
        <v>1650</v>
      </c>
      <c r="F9" s="8" t="n">
        <f aca="false">ROUND(B9/18+C9,0)</f>
        <v>1233</v>
      </c>
      <c r="G9" s="6" t="n">
        <f aca="false">ROUND(B9/24+C9,0)</f>
        <v>1025</v>
      </c>
    </row>
    <row r="10" customFormat="false" ht="15" hidden="false" customHeight="false" outlineLevel="0" collapsed="false">
      <c r="A10" s="4" t="s">
        <v>14</v>
      </c>
      <c r="B10" s="10" t="n">
        <f aca="false">SUM(B6:B9)</f>
        <v>55000</v>
      </c>
      <c r="C10" s="10" t="n">
        <f aca="false">SUM(C6:C9)</f>
        <v>4200</v>
      </c>
      <c r="D10" s="10" t="n">
        <f aca="false">SUM(D6:D9)</f>
        <v>105400</v>
      </c>
      <c r="E10" s="10" t="n">
        <f aca="false">SUM(E6:E9)</f>
        <v>8783</v>
      </c>
      <c r="F10" s="10" t="n">
        <f aca="false">SUM(F6:F9)</f>
        <v>7256</v>
      </c>
      <c r="G10" s="10" t="n">
        <f aca="false">SUM(G6:G9)</f>
        <v>6492</v>
      </c>
    </row>
    <row r="11" customFormat="false" ht="15" hidden="false" customHeight="false" outlineLevel="0" collapsed="false">
      <c r="A11" s="11" t="s">
        <v>15</v>
      </c>
      <c r="B11" s="12" t="s">
        <v>16</v>
      </c>
      <c r="C11" s="12" t="s">
        <v>16</v>
      </c>
      <c r="D11" s="13" t="n">
        <f aca="false">D10</f>
        <v>105400</v>
      </c>
      <c r="E11" s="13" t="n">
        <f aca="false">E10*12</f>
        <v>105396</v>
      </c>
      <c r="F11" s="13" t="n">
        <f aca="false">F10*12</f>
        <v>87072</v>
      </c>
      <c r="G11" s="13" t="n">
        <f aca="false">G10*12</f>
        <v>77904</v>
      </c>
    </row>
    <row r="12" customFormat="false" ht="15" hidden="false" customHeight="false" outlineLevel="0" collapsed="false">
      <c r="A12" s="9" t="s">
        <v>17</v>
      </c>
      <c r="B12" s="14" t="s">
        <v>16</v>
      </c>
      <c r="C12" s="14" t="s">
        <v>16</v>
      </c>
      <c r="D12" s="15" t="n">
        <f aca="false">D11/9305244</f>
        <v>0.0113269463971068</v>
      </c>
      <c r="E12" s="15" t="n">
        <f aca="false">E11/9305244</f>
        <v>0.0113265165319684</v>
      </c>
      <c r="F12" s="15" t="n">
        <f aca="false">F11/9305244</f>
        <v>0.00935730433291164</v>
      </c>
      <c r="G12" s="15" t="n">
        <f aca="false">G11/9305244</f>
        <v>0.00837205343567563</v>
      </c>
    </row>
    <row r="14" customFormat="false" ht="15" hidden="false" customHeight="true" outlineLevel="0" collapsed="false">
      <c r="A14" s="3" t="s">
        <v>18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4" t="s">
        <v>3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</row>
    <row r="16" customFormat="false" ht="15" hidden="false" customHeight="false" outlineLevel="0" collapsed="false">
      <c r="A16" s="9" t="s">
        <v>10</v>
      </c>
      <c r="B16" s="16" t="n">
        <f aca="false">E6</f>
        <v>3500</v>
      </c>
      <c r="C16" s="17" t="n">
        <f aca="false">ROUND(B16*0.15,0)</f>
        <v>525</v>
      </c>
      <c r="D16" s="7" t="n">
        <f aca="false">B16-C16</f>
        <v>2975</v>
      </c>
      <c r="E16" s="17" t="n">
        <f aca="false">ROUND(B16*0.25,0)</f>
        <v>875</v>
      </c>
      <c r="F16" s="18" t="n">
        <f aca="false">B16-E16</f>
        <v>2625</v>
      </c>
      <c r="G16" s="19" t="n">
        <f aca="false">F16</f>
        <v>2625</v>
      </c>
    </row>
    <row r="17" customFormat="false" ht="15" hidden="false" customHeight="false" outlineLevel="0" collapsed="false">
      <c r="A17" s="9" t="s">
        <v>11</v>
      </c>
      <c r="B17" s="16" t="n">
        <f aca="false">E7</f>
        <v>1433</v>
      </c>
      <c r="C17" s="17" t="n">
        <f aca="false">ROUND(B17*0.15,0)</f>
        <v>215</v>
      </c>
      <c r="D17" s="7" t="n">
        <f aca="false">B17-C17</f>
        <v>1218</v>
      </c>
      <c r="E17" s="17" t="n">
        <f aca="false">ROUND(B17*0.25,0)</f>
        <v>358</v>
      </c>
      <c r="F17" s="18" t="n">
        <f aca="false">B17-E17</f>
        <v>1075</v>
      </c>
      <c r="G17" s="19" t="n">
        <f aca="false">F17</f>
        <v>1075</v>
      </c>
    </row>
    <row r="18" customFormat="false" ht="26.85" hidden="false" customHeight="false" outlineLevel="0" collapsed="false">
      <c r="A18" s="9" t="s">
        <v>12</v>
      </c>
      <c r="B18" s="16" t="n">
        <f aca="false">E8</f>
        <v>2200</v>
      </c>
      <c r="C18" s="17" t="n">
        <f aca="false">ROUND(B18*0.15,0)</f>
        <v>330</v>
      </c>
      <c r="D18" s="7" t="n">
        <f aca="false">B18-C18</f>
        <v>1870</v>
      </c>
      <c r="E18" s="17" t="n">
        <f aca="false">ROUND(B18*0.25,0)</f>
        <v>550</v>
      </c>
      <c r="F18" s="18" t="n">
        <f aca="false">B18-E18</f>
        <v>1650</v>
      </c>
      <c r="G18" s="19" t="n">
        <f aca="false">F18</f>
        <v>1650</v>
      </c>
    </row>
    <row r="19" customFormat="false" ht="15" hidden="false" customHeight="false" outlineLevel="0" collapsed="false">
      <c r="A19" s="9" t="s">
        <v>13</v>
      </c>
      <c r="B19" s="16" t="n">
        <f aca="false">E9</f>
        <v>1650</v>
      </c>
      <c r="C19" s="17" t="n">
        <f aca="false">ROUND(B19*0.15,0)</f>
        <v>248</v>
      </c>
      <c r="D19" s="7" t="n">
        <f aca="false">B19-C19</f>
        <v>1402</v>
      </c>
      <c r="E19" s="17" t="n">
        <f aca="false">ROUND(B19*0.25,0)</f>
        <v>413</v>
      </c>
      <c r="F19" s="18" t="n">
        <f aca="false">B19-E19</f>
        <v>1237</v>
      </c>
      <c r="G19" s="19" t="n">
        <f aca="false">F19</f>
        <v>1237</v>
      </c>
    </row>
    <row r="20" customFormat="false" ht="15" hidden="false" customHeight="false" outlineLevel="0" collapsed="false">
      <c r="A20" s="4" t="s">
        <v>25</v>
      </c>
      <c r="B20" s="10" t="n">
        <f aca="false">SUM(B16:B19)</f>
        <v>8783</v>
      </c>
      <c r="C20" s="10" t="n">
        <f aca="false">SUM(C16:C19)</f>
        <v>1318</v>
      </c>
      <c r="D20" s="10" t="n">
        <f aca="false">SUM(D16:D19)</f>
        <v>7465</v>
      </c>
      <c r="E20" s="10" t="n">
        <f aca="false">SUM(E16:E19)</f>
        <v>2196</v>
      </c>
      <c r="F20" s="10" t="n">
        <f aca="false">SUM(F16:F19)</f>
        <v>6587</v>
      </c>
      <c r="G20" s="10" t="n">
        <f aca="false">SUM(G16:G19)</f>
        <v>6587</v>
      </c>
    </row>
    <row r="21" customFormat="false" ht="15" hidden="false" customHeight="false" outlineLevel="0" collapsed="false">
      <c r="A21" s="11" t="s">
        <v>26</v>
      </c>
      <c r="B21" s="13" t="n">
        <f aca="false">B20*12</f>
        <v>105396</v>
      </c>
      <c r="D21" s="13" t="n">
        <f aca="false">D20*12</f>
        <v>89580</v>
      </c>
      <c r="F21" s="13" t="n">
        <f aca="false">F20*12</f>
        <v>79044</v>
      </c>
    </row>
    <row r="23" customFormat="false" ht="15" hidden="false" customHeight="true" outlineLevel="0" collapsed="false">
      <c r="A23" s="20" t="s">
        <v>27</v>
      </c>
      <c r="B23" s="20"/>
      <c r="C23" s="20"/>
      <c r="D23" s="20"/>
      <c r="E23" s="20"/>
      <c r="F23" s="20"/>
      <c r="G23" s="20"/>
    </row>
    <row r="24" customFormat="false" ht="15" hidden="false" customHeight="true" outlineLevel="0" collapsed="false">
      <c r="A24" s="9" t="s">
        <v>28</v>
      </c>
      <c r="B24" s="21" t="s">
        <v>29</v>
      </c>
      <c r="C24" s="21"/>
      <c r="D24" s="21"/>
      <c r="E24" s="22" t="s">
        <v>30</v>
      </c>
      <c r="F24" s="22"/>
      <c r="G24" s="22"/>
    </row>
    <row r="26" customFormat="false" ht="15" hidden="false" customHeight="true" outlineLevel="0" collapsed="false">
      <c r="A26" s="3" t="s">
        <v>31</v>
      </c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4" t="s">
        <v>32</v>
      </c>
      <c r="B27" s="4" t="s">
        <v>33</v>
      </c>
      <c r="C27" s="4" t="s">
        <v>34</v>
      </c>
    </row>
    <row r="28" customFormat="false" ht="15" hidden="false" customHeight="true" outlineLevel="0" collapsed="false">
      <c r="A28" s="9" t="s">
        <v>35</v>
      </c>
      <c r="B28" s="7" t="n">
        <v>174000</v>
      </c>
      <c r="C28" s="23" t="s">
        <v>36</v>
      </c>
      <c r="D28" s="23"/>
      <c r="E28" s="23"/>
      <c r="F28" s="23"/>
      <c r="G28" s="23"/>
    </row>
    <row r="29" customFormat="false" ht="15" hidden="false" customHeight="true" outlineLevel="0" collapsed="false">
      <c r="A29" s="9" t="s">
        <v>37</v>
      </c>
      <c r="B29" s="6" t="n">
        <f aca="false">D11</f>
        <v>105400</v>
      </c>
      <c r="C29" s="23" t="s">
        <v>38</v>
      </c>
      <c r="D29" s="23"/>
      <c r="E29" s="23"/>
      <c r="F29" s="23"/>
      <c r="G29" s="23"/>
    </row>
    <row r="30" customFormat="false" ht="15" hidden="false" customHeight="true" outlineLevel="0" collapsed="false">
      <c r="A30" s="11" t="s">
        <v>39</v>
      </c>
      <c r="B30" s="7" t="n">
        <f aca="false">E11</f>
        <v>105396</v>
      </c>
      <c r="C30" s="23" t="s">
        <v>40</v>
      </c>
      <c r="D30" s="23"/>
      <c r="E30" s="23"/>
      <c r="F30" s="23"/>
      <c r="G30" s="23"/>
    </row>
    <row r="31" customFormat="false" ht="15" hidden="false" customHeight="true" outlineLevel="0" collapsed="false">
      <c r="A31" s="9" t="s">
        <v>41</v>
      </c>
      <c r="B31" s="8" t="n">
        <f aca="false">F11</f>
        <v>87072</v>
      </c>
      <c r="C31" s="23" t="s">
        <v>42</v>
      </c>
      <c r="D31" s="23"/>
      <c r="E31" s="23"/>
      <c r="F31" s="23"/>
      <c r="G31" s="23"/>
    </row>
    <row r="32" customFormat="false" ht="15" hidden="false" customHeight="true" outlineLevel="0" collapsed="false">
      <c r="A32" s="9" t="s">
        <v>43</v>
      </c>
      <c r="B32" s="6" t="n">
        <f aca="false">G11</f>
        <v>77904</v>
      </c>
      <c r="C32" s="23" t="s">
        <v>44</v>
      </c>
      <c r="D32" s="23"/>
      <c r="E32" s="23"/>
      <c r="F32" s="23"/>
      <c r="G32" s="23"/>
    </row>
    <row r="34" customFormat="false" ht="17.35" hidden="false" customHeight="true" outlineLevel="0" collapsed="false">
      <c r="A34" s="24" t="s">
        <v>45</v>
      </c>
      <c r="B34" s="25" t="n">
        <f aca="false">(B28-B30)/B30</f>
        <v>0.650916543322327</v>
      </c>
      <c r="C34" s="26" t="s">
        <v>46</v>
      </c>
      <c r="D34" s="26"/>
      <c r="E34" s="26"/>
      <c r="F34" s="26"/>
      <c r="G34" s="26"/>
    </row>
    <row r="36" customFormat="false" ht="15" hidden="false" customHeight="true" outlineLevel="0" collapsed="false">
      <c r="A36" s="27" t="s">
        <v>47</v>
      </c>
      <c r="B36" s="27"/>
      <c r="C36" s="27"/>
      <c r="D36" s="27"/>
      <c r="E36" s="27"/>
      <c r="F36" s="27"/>
      <c r="G36" s="27"/>
    </row>
    <row r="37" customFormat="false" ht="15" hidden="false" customHeight="true" outlineLevel="0" collapsed="false">
      <c r="A37" s="28" t="s">
        <v>48</v>
      </c>
      <c r="B37" s="29" t="s">
        <v>49</v>
      </c>
      <c r="C37" s="29"/>
      <c r="D37" s="29"/>
      <c r="E37" s="29"/>
      <c r="F37" s="29"/>
      <c r="G37" s="29"/>
    </row>
    <row r="38" customFormat="false" ht="15" hidden="false" customHeight="true" outlineLevel="0" collapsed="false">
      <c r="A38" s="28" t="s">
        <v>50</v>
      </c>
      <c r="B38" s="29" t="s">
        <v>51</v>
      </c>
      <c r="C38" s="29"/>
      <c r="D38" s="29"/>
      <c r="E38" s="29"/>
      <c r="F38" s="29"/>
      <c r="G38" s="29"/>
    </row>
    <row r="39" customFormat="false" ht="15" hidden="false" customHeight="true" outlineLevel="0" collapsed="false">
      <c r="A39" s="28" t="s">
        <v>52</v>
      </c>
      <c r="B39" s="29" t="s">
        <v>53</v>
      </c>
      <c r="C39" s="29"/>
      <c r="D39" s="29"/>
      <c r="E39" s="29"/>
      <c r="F39" s="29"/>
      <c r="G39" s="29"/>
    </row>
    <row r="40" customFormat="false" ht="15" hidden="false" customHeight="true" outlineLevel="0" collapsed="false">
      <c r="A40" s="28" t="s">
        <v>54</v>
      </c>
      <c r="B40" s="29" t="s">
        <v>55</v>
      </c>
      <c r="C40" s="29"/>
      <c r="D40" s="29"/>
      <c r="E40" s="29"/>
      <c r="F40" s="29"/>
      <c r="G40" s="29"/>
    </row>
    <row r="41" customFormat="false" ht="15" hidden="false" customHeight="true" outlineLevel="0" collapsed="false">
      <c r="A41" s="28" t="s">
        <v>56</v>
      </c>
      <c r="B41" s="29" t="s">
        <v>57</v>
      </c>
      <c r="C41" s="29"/>
      <c r="D41" s="29"/>
      <c r="E41" s="29"/>
      <c r="F41" s="29"/>
      <c r="G41" s="29"/>
    </row>
    <row r="42" customFormat="false" ht="15" hidden="false" customHeight="true" outlineLevel="0" collapsed="false">
      <c r="A42" s="28" t="s">
        <v>58</v>
      </c>
      <c r="B42" s="29" t="s">
        <v>59</v>
      </c>
      <c r="C42" s="29"/>
      <c r="D42" s="29"/>
      <c r="E42" s="29"/>
      <c r="F42" s="29"/>
      <c r="G42" s="29"/>
    </row>
    <row r="43" customFormat="false" ht="15" hidden="false" customHeight="true" outlineLevel="0" collapsed="false">
      <c r="A43" s="28" t="s">
        <v>60</v>
      </c>
      <c r="B43" s="29" t="s">
        <v>61</v>
      </c>
      <c r="C43" s="29"/>
      <c r="D43" s="29"/>
      <c r="E43" s="29"/>
      <c r="F43" s="29"/>
      <c r="G43" s="29"/>
    </row>
  </sheetData>
  <mergeCells count="22">
    <mergeCell ref="A1:G1"/>
    <mergeCell ref="A2:G2"/>
    <mergeCell ref="A4:G4"/>
    <mergeCell ref="A14:G14"/>
    <mergeCell ref="A23:G23"/>
    <mergeCell ref="B24:D24"/>
    <mergeCell ref="E24:G24"/>
    <mergeCell ref="A26:G26"/>
    <mergeCell ref="C28:G28"/>
    <mergeCell ref="C29:G29"/>
    <mergeCell ref="C30:G30"/>
    <mergeCell ref="C31:G31"/>
    <mergeCell ref="C32:G32"/>
    <mergeCell ref="C34:G34"/>
    <mergeCell ref="A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8"/>
  </cols>
  <sheetData>
    <row r="1" customFormat="false" ht="34.5" hidden="false" customHeight="true" outlineLevel="0" collapsed="false">
      <c r="A1" s="1" t="s">
        <v>62</v>
      </c>
      <c r="B1" s="1"/>
      <c r="C1" s="1"/>
      <c r="D1" s="1"/>
      <c r="E1" s="1"/>
    </row>
    <row r="3" customFormat="false" ht="26.85" hidden="false" customHeight="false" outlineLevel="0" collapsed="false">
      <c r="A3" s="4" t="s">
        <v>63</v>
      </c>
      <c r="B3" s="4" t="s">
        <v>64</v>
      </c>
      <c r="C3" s="4" t="s">
        <v>65</v>
      </c>
      <c r="D3" s="4" t="s">
        <v>66</v>
      </c>
      <c r="E3" s="4" t="s">
        <v>67</v>
      </c>
    </row>
    <row r="4" customFormat="false" ht="15" hidden="false" customHeight="false" outlineLevel="0" collapsed="false">
      <c r="A4" s="30" t="s">
        <v>68</v>
      </c>
      <c r="B4" s="31" t="n">
        <v>105400</v>
      </c>
      <c r="C4" s="6" t="n">
        <f aca="false">'מחירון חודשי'!E10*12</f>
        <v>105396</v>
      </c>
      <c r="D4" s="6" t="n">
        <f aca="false">'מחירון חודשי'!F10*12</f>
        <v>87072</v>
      </c>
      <c r="E4" s="6" t="n">
        <f aca="false">'מחירון חודשי'!G10*12</f>
        <v>77904</v>
      </c>
    </row>
    <row r="5" customFormat="false" ht="15" hidden="false" customHeight="false" outlineLevel="0" collapsed="false">
      <c r="A5" s="30" t="s">
        <v>69</v>
      </c>
      <c r="B5" s="6" t="n">
        <f aca="false">B4+50400</f>
        <v>155800</v>
      </c>
      <c r="C5" s="6" t="n">
        <f aca="false">C4+'מחירון חודשי'!C10*12</f>
        <v>155796</v>
      </c>
      <c r="D5" s="6" t="n">
        <f aca="false">D4+'מחירון חודשי'!F10*6+'מחירון חודשי'!C10*6</f>
        <v>155808</v>
      </c>
      <c r="E5" s="6" t="n">
        <f aca="false">E4+'מחירון חודשי'!G10*12</f>
        <v>155808</v>
      </c>
    </row>
    <row r="6" customFormat="false" ht="15" hidden="false" customHeight="false" outlineLevel="0" collapsed="false">
      <c r="A6" s="30" t="s">
        <v>70</v>
      </c>
      <c r="B6" s="6" t="n">
        <f aca="false">B5+50400</f>
        <v>206200</v>
      </c>
      <c r="C6" s="6" t="n">
        <f aca="false">C5+'מחירון חודשי'!C10*12</f>
        <v>206196</v>
      </c>
      <c r="D6" s="6" t="n">
        <f aca="false">D5+'מחירון חודשי'!C10*12</f>
        <v>206208</v>
      </c>
      <c r="E6" s="6" t="n">
        <f aca="false">E5+'מחירון חודשי'!C10*12</f>
        <v>206208</v>
      </c>
    </row>
    <row r="7" customFormat="false" ht="15" hidden="false" customHeight="false" outlineLevel="0" collapsed="false">
      <c r="A7" s="30" t="s">
        <v>71</v>
      </c>
      <c r="B7" s="6" t="n">
        <f aca="false">B6+50400</f>
        <v>256600</v>
      </c>
      <c r="C7" s="6" t="n">
        <f aca="false">C6+'מחירון חודשי'!C10*12</f>
        <v>256596</v>
      </c>
      <c r="D7" s="6" t="n">
        <f aca="false">D6+'מחירון חודשי'!C10*12</f>
        <v>256608</v>
      </c>
      <c r="E7" s="6" t="n">
        <f aca="false">E6+'מחירון חודשי'!C10*12</f>
        <v>256608</v>
      </c>
    </row>
    <row r="8" customFormat="false" ht="15" hidden="false" customHeight="false" outlineLevel="0" collapsed="false">
      <c r="A8" s="30" t="s">
        <v>72</v>
      </c>
      <c r="B8" s="6" t="n">
        <f aca="false">B7+50400</f>
        <v>307000</v>
      </c>
      <c r="C8" s="6" t="n">
        <f aca="false">C7+'מחירון חודשי'!C10*12</f>
        <v>306996</v>
      </c>
      <c r="D8" s="6" t="n">
        <f aca="false">D7+'מחירון חודשי'!C10*12</f>
        <v>307008</v>
      </c>
      <c r="E8" s="6" t="n">
        <f aca="false">E7+'מחירון חודשי'!C10*12</f>
        <v>307008</v>
      </c>
    </row>
    <row r="9" customFormat="false" ht="26.85" hidden="false" customHeight="true" outlineLevel="0" collapsed="false">
      <c r="A9" s="32" t="s">
        <v>73</v>
      </c>
      <c r="B9" s="32"/>
      <c r="C9" s="32"/>
      <c r="D9" s="32"/>
      <c r="E9" s="32"/>
    </row>
    <row r="10" customFormat="false" ht="15" hidden="false" customHeight="true" outlineLevel="0" collapsed="false">
      <c r="A10" s="33" t="s">
        <v>74</v>
      </c>
      <c r="B10" s="33"/>
      <c r="C10" s="33"/>
      <c r="D10" s="33"/>
      <c r="E10" s="33"/>
    </row>
  </sheetData>
  <mergeCells count="3">
    <mergeCell ref="A1:E1"/>
    <mergeCell ref="A9:E9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2026-06-28T06:17:12Z</dcterms:created>
  <dc:creator>openpyxl</dc:creator>
  <dc:description/>
  <dc:language>en-US</dc:language>
  <cp:lastModifiedBy/>
  <dcterms:modified xsi:type="dcterms:W3CDTF">2026-06-28T06:17:12Z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