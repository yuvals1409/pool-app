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ניתוח כספי" sheetId="1" state="visible" r:id="rId3"/>
    <sheet name="מחירון פנימי" sheetId="2" state="visible" r:id="rId4"/>
    <sheet name="תסריט שיחה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<sst xmlns="http://schemas.openxmlformats.org/spreadsheetml/2006/main" count="213" uniqueCount="198">
  <si>
    <t xml:space="preserve">ניתוח כספי מעמיק — מרכז ספורט נווה עוז 2024</t>
  </si>
  <si>
    <t xml:space="preserve">מתוך דוחות כספיים מבוקרים + דוח מילולי לרשם העמותות</t>
  </si>
  <si>
    <t xml:space="preserve">פירוט הכנסות</t>
  </si>
  <si>
    <t xml:space="preserve">2024</t>
  </si>
  <si>
    <t xml:space="preserve">2023</t>
  </si>
  <si>
    <t xml:space="preserve">שינוי %</t>
  </si>
  <si>
    <t xml:space="preserve">הערות</t>
  </si>
  <si>
    <t xml:space="preserve">מנויים</t>
  </si>
  <si>
    <t xml:space="preserve">מנוע הכנסות מרכזי — 70.5%</t>
  </si>
  <si>
    <t xml:space="preserve">דמי חבר</t>
  </si>
  <si>
    <t xml:space="preserve">ירידה משמעותית! סימן לנטישת חברים</t>
  </si>
  <si>
    <t xml:space="preserve">כרטיסיות</t>
  </si>
  <si>
    <t xml:space="preserve">ירידה — פחות כניסות מזדמנות</t>
  </si>
  <si>
    <t xml:space="preserve">השכרות, הדרכות ואחרות</t>
  </si>
  <si>
    <t xml:space="preserve">צמיחה חזקה — הדרכות חדשות?</t>
  </si>
  <si>
    <t xml:space="preserve">סה"כ הכנסות</t>
  </si>
  <si>
    <t xml:space="preserve">פירוט הוצאות</t>
  </si>
  <si>
    <t xml:space="preserve">משמעות למכירה</t>
  </si>
  <si>
    <t xml:space="preserve">שכר עבודה — שטח</t>
  </si>
  <si>
    <t xml:space="preserve">עלה 17.3%! — משקיעים באנשים, חסרים כלים</t>
  </si>
  <si>
    <t xml:space="preserve">הדרכות וציוד ספורט</t>
  </si>
  <si>
    <t xml:space="preserve">קפיצה של 74%! — מחויבות לאיכות</t>
  </si>
  <si>
    <t xml:space="preserve">אחזקה</t>
  </si>
  <si>
    <t xml:space="preserve">ירידה — חיסכון? או דחיית תחזוקה?</t>
  </si>
  <si>
    <t xml:space="preserve">חשמל</t>
  </si>
  <si>
    <t xml:space="preserve">יציב</t>
  </si>
  <si>
    <t xml:space="preserve">מים, ביוב ומיסים</t>
  </si>
  <si>
    <t xml:space="preserve">עלייה — מחירי מים</t>
  </si>
  <si>
    <t xml:space="preserve">חומרי ניקוי וחיטוי</t>
  </si>
  <si>
    <t xml:space="preserve">עלייה 23.7%</t>
  </si>
  <si>
    <t xml:space="preserve">ביטוחים</t>
  </si>
  <si>
    <t xml:space="preserve">מופעים ואירועים</t>
  </si>
  <si>
    <t xml:space="preserve">צמיחה 55% — פעילות קהילתית</t>
  </si>
  <si>
    <t xml:space="preserve">גינון ושמירה</t>
  </si>
  <si>
    <t xml:space="preserve">פחת</t>
  </si>
  <si>
    <t xml:space="preserve">תשתיות מתיישנות</t>
  </si>
  <si>
    <t xml:space="preserve">סה"כ עלות פעילויות</t>
  </si>
  <si>
    <t xml:space="preserve">הוצאות הנהלה וכלליות</t>
  </si>
  <si>
    <t xml:space="preserve">רלוונטיות ל-Stream Line</t>
  </si>
  <si>
    <t xml:space="preserve">שכר הנהלה</t>
  </si>
  <si>
    <t xml:space="preserve">קוצץ 19.4% — פחות אנשים, יותר עומס</t>
  </si>
  <si>
    <t xml:space="preserve">משרדיות</t>
  </si>
  <si>
    <t xml:space="preserve">עלה 23%! — טפסים ונייר = הזדמנות</t>
  </si>
  <si>
    <t xml:space="preserve">פרסום ושיווק</t>
  </si>
  <si>
    <t xml:space="preserve">כולל ~84K ל-Taking Control</t>
  </si>
  <si>
    <t xml:space="preserve">משפטיות</t>
  </si>
  <si>
    <t xml:space="preserve">עלייה 43% — רגולציה?</t>
  </si>
  <si>
    <t xml:space="preserve">אגרות ודמי חבר</t>
  </si>
  <si>
    <t xml:space="preserve">עלייה חדה</t>
  </si>
  <si>
    <t xml:space="preserve">עמלות בנק וכרטיסי אשראי</t>
  </si>
  <si>
    <t xml:space="preserve">PayMe יכול לחסוך כאן</t>
  </si>
  <si>
    <t xml:space="preserve">שירותים מקצועיים</t>
  </si>
  <si>
    <t xml:space="preserve">ירידה</t>
  </si>
  <si>
    <t xml:space="preserve">תקשורת</t>
  </si>
  <si>
    <t xml:space="preserve">עלייה — אבל סכום קטן</t>
  </si>
  <si>
    <t xml:space="preserve">סה"כ הנהלה וכלליות</t>
  </si>
  <si>
    <t xml:space="preserve">מדדים מפתח</t>
  </si>
  <si>
    <t xml:space="preserve">שינוי</t>
  </si>
  <si>
    <t xml:space="preserve">מה זה אומר</t>
  </si>
  <si>
    <t xml:space="preserve">עודף נטו לשנה</t>
  </si>
  <si>
    <t xml:space="preserve">ירידה 30% — לחץ על המנכ"ל</t>
  </si>
  <si>
    <t xml:space="preserve">מזומנים</t>
  </si>
  <si>
    <t xml:space="preserve">עלייה — אבל = הכנסות מראש</t>
  </si>
  <si>
    <t xml:space="preserve">הכנסות מראש (שוטף)</t>
  </si>
  <si>
    <t xml:space="preserve">כמעט כל המזומנים! סיכון שימור</t>
  </si>
  <si>
    <t xml:space="preserve">הכנסות מראש (ל-2026)</t>
  </si>
  <si>
    <t xml:space="preserve">ירידה — פחות רישום מוקדם?</t>
  </si>
  <si>
    <t xml:space="preserve">גירעון תפעולי מצטבר</t>
  </si>
  <si>
    <t xml:space="preserve">שיפור דרמטי! כמעט 0</t>
  </si>
  <si>
    <t xml:space="preserve">נכסים נטו</t>
  </si>
  <si>
    <t xml:space="preserve">עלייה — בריא</t>
  </si>
  <si>
    <t xml:space="preserve">רכוש קבוע נטו</t>
  </si>
  <si>
    <t xml:space="preserve">ירידה — תשתיות מתיישנות</t>
  </si>
  <si>
    <t xml:space="preserve">כרטיסי אשראי לגבייה</t>
  </si>
  <si>
    <t xml:space="preserve">93% מהגבייה באשראי</t>
  </si>
  <si>
    <t xml:space="preserve">עובדים</t>
  </si>
  <si>
    <t xml:space="preserve">ללא שינוי</t>
  </si>
  <si>
    <t xml:space="preserve">חברים רשומים</t>
  </si>
  <si>
    <t xml:space="preserve">ללא שינוי — אין צמיחה</t>
  </si>
  <si>
    <t xml:space="preserve">5 מקבלי השכר הגבוה — 2024</t>
  </si>
  <si>
    <t xml:space="preserve">שכר ברוטו שנתי</t>
  </si>
  <si>
    <t xml:space="preserve">היקף משרה</t>
  </si>
  <si>
    <t xml:space="preserve">רלוונטיות</t>
  </si>
  <si>
    <t xml:space="preserve">מנכ"ל (אורן חפץ — 2024)</t>
  </si>
  <si>
    <t xml:space="preserve">100%</t>
  </si>
  <si>
    <t xml:space="preserve">מקבל ההחלטות? או שי גרין החליף?</t>
  </si>
  <si>
    <t xml:space="preserve">מנהל אחזקה</t>
  </si>
  <si>
    <t xml:space="preserve">תפקיד מפתח — לא רלוונטי ישירות</t>
  </si>
  <si>
    <t xml:space="preserve">מנהלת שחייה (מורן?)</t>
  </si>
  <si>
    <t xml:space="preserve">השותפה שלך בפגישה — הכי רלוונטית!</t>
  </si>
  <si>
    <t xml:space="preserve">מנהל כספים / גזבר</t>
  </si>
  <si>
    <t xml:space="preserve">50%</t>
  </si>
  <si>
    <t xml:space="preserve">חצי משרה! — מי מאשר תקציבים?</t>
  </si>
  <si>
    <t xml:space="preserve">אחראי מצילים</t>
  </si>
  <si>
    <t xml:space="preserve">לא רלוונטי ישירות</t>
  </si>
  <si>
    <t xml:space="preserve">תובנות אסטרטגיות למכירה</t>
  </si>
  <si>
    <t xml:space="preserve">1. הסטת תקציבים לשטח (+17.3%) = משקיעים באיכות אבל חסרים כלים דיגיטליים. Stream Line = הכלי.</t>
  </si>
  <si>
    <t xml:space="preserve">2. מזומנים (3.73M) ≈ הכנסות מראש (3.73M) = אין כרית ביטחון. שימור לקוחות קריטי → CRM + WhatsApp.</t>
  </si>
  <si>
    <t xml:space="preserve">3. גירעון תפעולי כמעט נסגר (מ-766K ל-62K) = חלון השקעה. עכשיו זה הזמן.</t>
  </si>
  <si>
    <t xml:space="preserve">4. דמי חבר ירדו 17% = צריך כלי גיוס (דפי נחיתה) + כלי שימור (WhatsApp בוט).</t>
  </si>
  <si>
    <t xml:space="preserve">5. הוצאות משרדיות עלו 23% (243K) = טפסים דיגיטליים חוסכים מיידית.</t>
  </si>
  <si>
    <t xml:space="preserve">6. PayMe = הקלף המנצח. בלי ניהול תקין מ-2019, Fizikal לא מציע פתרון סליקה.</t>
  </si>
  <si>
    <t xml:space="preserve">7. שכר מנהלת שחייה 214K = Stream Line שנתי (50K) זה רבע מהשכר שלה. המערכת חוסכת לה שעות.</t>
  </si>
  <si>
    <t xml:space="preserve">8. רואי החשבון החדשים (סמואל-בורשטיין) = שינוי. ייתכן שגם ניהול תקין יחודש בקרוב.</t>
  </si>
  <si>
    <t xml:space="preserve">מחירון פנימי — לעיניי יובל בלבד</t>
  </si>
  <si>
    <t xml:space="preserve">סודי — לא להראות ללקוח!</t>
  </si>
  <si>
    <t xml:space="preserve">שכבה / מוצר</t>
  </si>
  <si>
    <t xml:space="preserve">מחיר מחירון</t>
  </si>
  <si>
    <t xml:space="preserve">הנחה 15%</t>
  </si>
  <si>
    <t xml:space="preserve">הנחה 25% (רצפה)</t>
  </si>
  <si>
    <t xml:space="preserve">עלות חודשית</t>
  </si>
  <si>
    <t xml:space="preserve">טיעון מכירה מרכזי</t>
  </si>
  <si>
    <t xml:space="preserve">הקמה — CRM</t>
  </si>
  <si>
    <t xml:space="preserve">  הקמת מערכת CRM</t>
  </si>
  <si>
    <t xml:space="preserve">מחליף את הניהול הידני. עובד לצד Fizikal.</t>
  </si>
  <si>
    <t xml:space="preserve">סליקה — PayMe</t>
  </si>
  <si>
    <t xml:space="preserve">  הקמת סליקה PayMe</t>
  </si>
  <si>
    <t xml:space="preserve">הקלף המנצח! בלי ניהול תקין מ-2019 = אין חלופה.</t>
  </si>
  <si>
    <t xml:space="preserve">בוט WhatsApp</t>
  </si>
  <si>
    <t xml:space="preserve">  הקמת בוט WhatsApp</t>
  </si>
  <si>
    <t xml:space="preserve">בוט AI 24/7. תזכורות, עדכוני נוכחות, קישורי תשלום.</t>
  </si>
  <si>
    <t xml:space="preserve">  בונוס: דפי נחיתה</t>
  </si>
  <si>
    <t xml:space="preserve">כלול</t>
  </si>
  <si>
    <t xml:space="preserve">אל תתקוף TC! תציג כערך מוסף שפותר בעיית לידים.</t>
  </si>
  <si>
    <t xml:space="preserve">טפסים דיגיטליים</t>
  </si>
  <si>
    <t xml:space="preserve">  הקמת טפסים דיגיטליים</t>
  </si>
  <si>
    <t xml:space="preserve">600+ טפסים/שנה. חיסכון ב-243K הוצאות משרדיות.</t>
  </si>
  <si>
    <t xml:space="preserve">סה"כ הקמה</t>
  </si>
  <si>
    <t xml:space="preserve">% מהמחזור:</t>
  </si>
  <si>
    <t xml:space="preserve">סה"כ חודשי</t>
  </si>
  <si>
    <t xml:space="preserve">סה"כ שנה ראשונה (הקמה + 12 חודשים)</t>
  </si>
  <si>
    <t xml:space="preserve">מחירון: פחות מ-1.2% מהמחזור (9.3M)</t>
  </si>
  <si>
    <t xml:space="preserve">ניתוח ROI</t>
  </si>
  <si>
    <t xml:space="preserve">חיסכון הוצאות משרדיות (50% מ-243K)</t>
  </si>
  <si>
    <t xml:space="preserve">חיסכון עמלות כרטיסי אשראי</t>
  </si>
  <si>
    <t xml:space="preserve">חיסכון שעות עבודה (הערכה: 10 שעות/שבוע * 50 ש"ח)</t>
  </si>
  <si>
    <t xml:space="preserve">סה"כ חיסכון שנתי</t>
  </si>
  <si>
    <t xml:space="preserve">עלות שנתית Stream Line (מחירון)</t>
  </si>
  <si>
    <t xml:space="preserve">חיסכון נטו</t>
  </si>
  <si>
    <t xml:space="preserve">זמן החזר השקעה (חודשים)</t>
  </si>
  <si>
    <t xml:space="preserve">כללי משא ומתן</t>
  </si>
  <si>
    <t xml:space="preserve">פגישה ראשונה: מקסימום 15% הנחה. אל תציע הנחה — תחכה שיבקשו.</t>
  </si>
  <si>
    <t xml:space="preserve">רצפה מוחלטת: 25%. מתחת לזה — לא שווה.</t>
  </si>
  <si>
    <t xml:space="preserve">אסטרטגיית הנחה: תן הנחה על ההקמה, לא על החודשי. החודשי הוא ה-recurring.</t>
  </si>
  <si>
    <t xml:space="preserve">אם מבקשים הנחה גדולה: הצע תשלומים (3 תשלומים על ההקמה).</t>
  </si>
  <si>
    <t xml:space="preserve">אל תוריד את PayMe — זה הקלף המנצח שאין לו תחרות.</t>
  </si>
  <si>
    <t xml:space="preserve">אל תתקוף את Taking Control — תציע דפי נחיתה כ"בונוס".</t>
  </si>
  <si>
    <t xml:space="preserve">אם שואלים למה לא Fizikal: "Fizikal לא מציע סליקה, WhatsApp, או טפסים דיגיטליים."</t>
  </si>
  <si>
    <t xml:space="preserve">תסריט שיחה — פגישה עם נווה עוז | יום ראשון 29/06 בשעה 15:00</t>
  </si>
  <si>
    <t xml:space="preserve">משתתפים: שי גרין (מנכ"ל?), מורן (מנהלת שחייה), יובל (אתה)</t>
  </si>
  <si>
    <t xml:space="preserve">שלב</t>
  </si>
  <si>
    <t xml:space="preserve">נושא</t>
  </si>
  <si>
    <t xml:space="preserve">מה לומר</t>
  </si>
  <si>
    <t xml:space="preserve">טיפ / אזהרה</t>
  </si>
  <si>
    <t xml:space="preserve">1</t>
  </si>
  <si>
    <t xml:space="preserve">פתיחה (2 דק')</t>
  </si>
  <si>
    <t xml:space="preserve">"תודה על הזמן. אני יובל, מדריך שחייה כאן בנווה עוז. בניתי מערכת ניהול מתוך הצורך שלי בשטח, ואני רוצה להראות לכם איך זה יכול לשפר את העבודה."</t>
  </si>
  <si>
    <t xml:space="preserve">אל תפתח עם מכירה. תהיה אנושי. אתה מדריך, לא איש מכירות.</t>
  </si>
  <si>
    <t xml:space="preserve">2</t>
  </si>
  <si>
    <t xml:space="preserve">תמונה כספית (3 דק')</t>
  </si>
  <si>
    <t xml:space="preserve">"הסתכלתי על הדוחות הכספיים שלכם. מחזור 9.3 מיליון, אבל העודף ירד 30% השנה. שכר השטח עלה 17% — אתם משקיעים באנשים. השאלה היא איך לתת לצוות כלים שיעבדו חכם, לא קשה."</t>
  </si>
  <si>
    <t xml:space="preserve">מראה שאתה מכיר את העסק. אל תשפוט — תתאר עובדות.</t>
  </si>
  <si>
    <t xml:space="preserve">3</t>
  </si>
  <si>
    <t xml:space="preserve">כאבים (5 דק')</t>
  </si>
  <si>
    <t xml:space="preserve">"מורן, כמה שעות בשבוע את מבזבזת על ניהול ידני — נוכחות, טפסים, טלפונים להורים? ואיך הגבייה עובדת היום בלי ניהול תקין?"</t>
  </si>
  <si>
    <t xml:space="preserve">תשאל שאלות! אל תגיד להם מה הכאב — תן להם לספר. מורן היא בעלת הברית שלך.</t>
  </si>
  <si>
    <t xml:space="preserve">4</t>
  </si>
  <si>
    <t xml:space="preserve">דמו CRM (10 דק')</t>
  </si>
  <si>
    <t xml:space="preserve">הראה את המערכת: דשבורד, ניהול קבוצות, נוכחות, הערכות, כספים. "כל מה שמורן עושה על נייר — פה זה אוטומטי."</t>
  </si>
  <si>
    <t xml:space="preserve">הראה את המסך, לא שקפים. תן למורן לשאול שאלות. אם שואלת על Fizikal: "זה עובד לצד Fizikal, לא מחליף."</t>
  </si>
  <si>
    <t xml:space="preserve">5</t>
  </si>
  <si>
    <t xml:space="preserve">PayMe — הקלף המנצח (5 דק')</t>
  </si>
  <si>
    <t xml:space="preserve">"בלי ניהול תקין מ-2019, אי אפשר לעבוד עם סליקה רגילה. PayMe פותר את זה — קישורי תשלום, הוראות קבע, דוחות גבייה. Fizikal לא מציע את זה."</t>
  </si>
  <si>
    <t xml:space="preserve">זה הרגע הכי חזק. אל תזרוק את זה סתם — תן לזה לשקוע. 'אין חלופה' = המילים הנכונות.</t>
  </si>
  <si>
    <t xml:space="preserve">6</t>
  </si>
  <si>
    <t xml:space="preserve">WhatsApp + דפי נחיתה (5 דק')</t>
  </si>
  <si>
    <t xml:space="preserve">"בוט שעונה 24/7, שולח תזכורות שיעורים, עדכוני נוכחות ואפילו קישורי תשלום. ובונוס — דפי נחיתה שמחברים לידים ישירות למערכת."</t>
  </si>
  <si>
    <t xml:space="preserve">אל תתקוף TC! תגיד 'בנוסף למה שיש' — לא 'במקום'. דמי חבר ירדו 17% — הם צריכים גיוס.</t>
  </si>
  <si>
    <t xml:space="preserve">7</t>
  </si>
  <si>
    <t xml:space="preserve">טפסים דיגיטליים (3 דק')</t>
  </si>
  <si>
    <t xml:space="preserve">"600+ טפסים בשנה על נייר. הוצאות משרדיות עלו 23% ל-243 אלף. טפסים דיגיטליים עם חתימה אלקטרונית, שמירה ישירה ב-CRM."</t>
  </si>
  <si>
    <t xml:space="preserve">קצר וענייני. המספרים מדברים.</t>
  </si>
  <si>
    <t xml:space="preserve">8</t>
  </si>
  <si>
    <t xml:space="preserve">ROI (3 דק')</t>
  </si>
  <si>
    <t xml:space="preserve">"ההשקעה הזו היא פחות מ-1% מהמחזור שלכם. החיסכון הפוטנציאלי — 174 אלף בשנה. החזר תוך 4 חודשים. וזה לפני שמחשיבים חיסכון בשעות עבודה."</t>
  </si>
  <si>
    <t xml:space="preserve">אל תציע מחיר! תחכה שישאלו. אם שואלים — 55K הקמה + 4,200 חודשי.</t>
  </si>
  <si>
    <t xml:space="preserve">9</t>
  </si>
  <si>
    <t xml:space="preserve">שאלות ומענה (5 דק')</t>
  </si>
  <si>
    <t xml:space="preserve">"מה השאלות שלכם?" — תן להם לדבר. אם שותקים: "מה הכי דחוף לכם מבין מה שהראיתי?"</t>
  </si>
  <si>
    <t xml:space="preserve">אם מבקשים הנחה: 15% מקסימום. תן על ההקמה, לא על החודשי. אם לוחצים: תשלומים (3 פעימות).</t>
  </si>
  <si>
    <t xml:space="preserve">10</t>
  </si>
  <si>
    <t xml:space="preserve">סגירה (2 דק')</t>
  </si>
  <si>
    <t xml:space="preserve">"אני מציע שנתחיל עם פיילוט — CRM + PayMe, ונוסיף WhatsApp וטפסים בשלב שני. מה אומרים?"</t>
  </si>
  <si>
    <t xml:space="preserve">אל תלחץ. הצע פיילוט — מוריד התנגדות. אם מהססים: 'אני פה, אני מדריך כאן, אני תמיד זמין.'</t>
  </si>
  <si>
    <t xml:space="preserve">11</t>
  </si>
  <si>
    <t xml:space="preserve">התנגדויות אפשריות</t>
  </si>
  <si>
    <t xml:space="preserve">"יקר" → 'פחות מ-1% מהמחזור. שכר מנהלת השחייה לבד הוא 214K.'
"יש לנו Fizikal" → 'Fizikal לא מציע סליקה, WhatsApp, או טפסים. זה משלים, לא מחליף.'
"מה עם TC?" → 'דפי הנחיתה כלולים בחבילת WhatsApp — ערך מוסף בלי עלות נוספת.'</t>
  </si>
  <si>
    <t xml:space="preserve">אל תגיד 'TC לא עובדים טוב'. שי בחר אותם. תגיד 'בנוסף'.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</si>
</sst>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%"/>
    <numFmt numFmtId="167" formatCode="0.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9"/>
      <color rgb="FF64748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DC262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A2B4A"/>
      <name val="Arial"/>
      <family val="0"/>
      <charset val="1"/>
    </font>
    <font>
      <sz val="9"/>
      <color rgb="FFDC2626"/>
      <name val="Arial"/>
      <family val="0"/>
      <charset val="1"/>
    </font>
    <font>
      <sz val="10"/>
      <color rgb="FF059669"/>
      <name val="Arial"/>
      <family val="0"/>
      <charset val="1"/>
    </font>
    <font>
      <b val="true"/>
      <sz val="10"/>
      <color rgb="FF059669"/>
      <name val="Arial"/>
      <family val="0"/>
      <charset val="1"/>
    </font>
    <font>
      <sz val="9"/>
      <color rgb="FFF97316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64748B"/>
      <name val="Arial"/>
      <family val="0"/>
      <charset val="1"/>
    </font>
    <font>
      <b val="true"/>
      <sz val="10"/>
      <color rgb="FF1A2B4A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A2B4A"/>
        <bgColor rgb="FF003366"/>
      </patternFill>
    </fill>
    <fill>
      <patternFill patternType="solid">
        <fgColor rgb="FFF1F5F9"/>
        <bgColor rgb="FFECFDF5"/>
      </patternFill>
    </fill>
    <fill>
      <patternFill patternType="solid">
        <fgColor rgb="FF2563EB"/>
        <bgColor rgb="FF0066CC"/>
      </patternFill>
    </fill>
    <fill>
      <patternFill patternType="solid">
        <fgColor rgb="FFD1FAE5"/>
        <bgColor rgb="FFDBEAFE"/>
      </patternFill>
    </fill>
    <fill>
      <patternFill patternType="solid">
        <fgColor rgb="FFDC2626"/>
        <bgColor rgb="FF993300"/>
      </patternFill>
    </fill>
    <fill>
      <patternFill patternType="solid">
        <fgColor rgb="FFFEE2E2"/>
        <bgColor rgb="FFFEF3C7"/>
      </patternFill>
    </fill>
    <fill>
      <patternFill patternType="solid">
        <fgColor rgb="FFF97316"/>
        <bgColor rgb="FFFF9900"/>
      </patternFill>
    </fill>
    <fill>
      <patternFill patternType="solid">
        <fgColor rgb="FFFEF3C7"/>
        <bgColor rgb="FFFEE2E2"/>
      </patternFill>
    </fill>
    <fill>
      <patternFill patternType="solid">
        <fgColor rgb="FF6D28D9"/>
        <bgColor rgb="FF800080"/>
      </patternFill>
    </fill>
    <fill>
      <patternFill patternType="solid">
        <fgColor rgb="FF059669"/>
        <bgColor rgb="FF008080"/>
      </patternFill>
    </fill>
    <fill>
      <patternFill patternType="solid">
        <fgColor rgb="FFFFFFFF"/>
        <bgColor rgb="FFF1F5F9"/>
      </patternFill>
    </fill>
    <fill>
      <patternFill patternType="solid">
        <fgColor rgb="FFDBEAFE"/>
        <bgColor rgb="FFF1F5F9"/>
      </patternFill>
    </fill>
    <fill>
      <patternFill patternType="solid">
        <fgColor rgb="FFECFDF5"/>
        <bgColor rgb="FFF1F5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1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1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1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1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1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1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1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3C7"/>
      <rgbColor rgb="FFECFD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D1FAE5"/>
      <rgbColor rgb="FFF1F5F9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97316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6D28D9"/>
      <rgbColor rgb="FF1A2B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5"/>
    <col collapsed="false" customWidth="true" hidden="false" outlineLevel="0" max="4" min="2" style="0" width="18"/>
    <col collapsed="false" customWidth="true" hidden="false" outlineLevel="0" max="5" min="5" style="0" width="30"/>
  </cols>
  <sheetData>
    <row r="1" customFormat="false" ht="17.35" hidden="false" customHeight="true" outlineLevel="0" collapsed="false">
      <c r="A1" s="1" t="s">
        <v>0</v>
      </c>
      <c r="B1" s="1"/>
      <c r="C1" s="1"/>
      <c r="D1" s="1"/>
      <c r="E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n">
        <v>6566141</v>
      </c>
      <c r="C5" s="5" t="n">
        <v>6397471</v>
      </c>
      <c r="D5" s="6" t="n">
        <f aca="false">(B5-C5)/C5</f>
        <v>0.0263651058363531</v>
      </c>
      <c r="E5" s="7" t="s">
        <v>8</v>
      </c>
    </row>
    <row r="6" customFormat="false" ht="15" hidden="false" customHeight="false" outlineLevel="0" collapsed="false">
      <c r="A6" s="4" t="s">
        <v>9</v>
      </c>
      <c r="B6" s="5" t="n">
        <v>899704</v>
      </c>
      <c r="C6" s="5" t="n">
        <v>1087287</v>
      </c>
      <c r="D6" s="6" t="n">
        <f aca="false">(B6-C6)/C6</f>
        <v>-0.172523905831671</v>
      </c>
      <c r="E6" s="7" t="s">
        <v>10</v>
      </c>
    </row>
    <row r="7" customFormat="false" ht="15" hidden="false" customHeight="false" outlineLevel="0" collapsed="false">
      <c r="A7" s="4" t="s">
        <v>11</v>
      </c>
      <c r="B7" s="5" t="n">
        <v>676045</v>
      </c>
      <c r="C7" s="5" t="n">
        <v>748060</v>
      </c>
      <c r="D7" s="6" t="n">
        <f aca="false">(B7-C7)/C7</f>
        <v>-0.0962690158543432</v>
      </c>
      <c r="E7" s="7" t="s">
        <v>12</v>
      </c>
    </row>
    <row r="8" customFormat="false" ht="15" hidden="false" customHeight="false" outlineLevel="0" collapsed="false">
      <c r="A8" s="4" t="s">
        <v>13</v>
      </c>
      <c r="B8" s="5" t="n">
        <v>1163354</v>
      </c>
      <c r="C8" s="5" t="n">
        <v>861737</v>
      </c>
      <c r="D8" s="6" t="n">
        <f aca="false">(B8-C8)/C8</f>
        <v>0.350010502044127</v>
      </c>
      <c r="E8" s="7" t="s">
        <v>14</v>
      </c>
    </row>
    <row r="9" customFormat="false" ht="15" hidden="false" customHeight="false" outlineLevel="0" collapsed="false">
      <c r="A9" s="8" t="s">
        <v>15</v>
      </c>
      <c r="B9" s="9" t="n">
        <f aca="false">SUM(B5:B8)</f>
        <v>9305244</v>
      </c>
      <c r="C9" s="9" t="n">
        <f aca="false">SUM(C5:C8)</f>
        <v>9094555</v>
      </c>
      <c r="D9" s="10" t="n">
        <f aca="false">(B9-C9)/C9</f>
        <v>0.0231664990755458</v>
      </c>
      <c r="E9" s="8"/>
    </row>
    <row r="11" customFormat="false" ht="15" hidden="false" customHeight="false" outlineLevel="0" collapsed="false">
      <c r="A11" s="11" t="s">
        <v>16</v>
      </c>
      <c r="B11" s="11" t="s">
        <v>3</v>
      </c>
      <c r="C11" s="11" t="s">
        <v>4</v>
      </c>
      <c r="D11" s="11" t="s">
        <v>5</v>
      </c>
      <c r="E11" s="11" t="s">
        <v>17</v>
      </c>
    </row>
    <row r="12" customFormat="false" ht="22.35" hidden="false" customHeight="false" outlineLevel="0" collapsed="false">
      <c r="A12" s="4" t="s">
        <v>18</v>
      </c>
      <c r="B12" s="5" t="n">
        <v>3474459</v>
      </c>
      <c r="C12" s="5" t="n">
        <v>2961483</v>
      </c>
      <c r="D12" s="6" t="n">
        <f aca="false">(B12-C12)/C12</f>
        <v>0.173215919186435</v>
      </c>
      <c r="E12" s="7" t="s">
        <v>19</v>
      </c>
    </row>
    <row r="13" customFormat="false" ht="15" hidden="false" customHeight="false" outlineLevel="0" collapsed="false">
      <c r="A13" s="4" t="s">
        <v>20</v>
      </c>
      <c r="B13" s="5" t="n">
        <v>611631</v>
      </c>
      <c r="C13" s="5" t="n">
        <v>351232</v>
      </c>
      <c r="D13" s="6" t="n">
        <f aca="false">(B13-C13)/C13</f>
        <v>0.741387459001458</v>
      </c>
      <c r="E13" s="7" t="s">
        <v>21</v>
      </c>
    </row>
    <row r="14" customFormat="false" ht="15" hidden="false" customHeight="false" outlineLevel="0" collapsed="false">
      <c r="A14" s="4" t="s">
        <v>22</v>
      </c>
      <c r="B14" s="5" t="n">
        <v>621719</v>
      </c>
      <c r="C14" s="5" t="n">
        <v>954967</v>
      </c>
      <c r="D14" s="6" t="n">
        <f aca="false">(B14-C14)/C14</f>
        <v>-0.348962843742245</v>
      </c>
      <c r="E14" s="7" t="s">
        <v>23</v>
      </c>
    </row>
    <row r="15" customFormat="false" ht="15" hidden="false" customHeight="false" outlineLevel="0" collapsed="false">
      <c r="A15" s="4" t="s">
        <v>24</v>
      </c>
      <c r="B15" s="5" t="n">
        <v>395284</v>
      </c>
      <c r="C15" s="5" t="n">
        <v>400513</v>
      </c>
      <c r="D15" s="6" t="n">
        <f aca="false">(B15-C15)/C15</f>
        <v>-0.0130557559929391</v>
      </c>
      <c r="E15" s="7" t="s">
        <v>25</v>
      </c>
    </row>
    <row r="16" customFormat="false" ht="15" hidden="false" customHeight="false" outlineLevel="0" collapsed="false">
      <c r="A16" s="4" t="s">
        <v>26</v>
      </c>
      <c r="B16" s="5" t="n">
        <v>608099</v>
      </c>
      <c r="C16" s="5" t="n">
        <v>527065</v>
      </c>
      <c r="D16" s="6" t="n">
        <f aca="false">(B16-C16)/C16</f>
        <v>0.153745742934932</v>
      </c>
      <c r="E16" s="7" t="s">
        <v>27</v>
      </c>
    </row>
    <row r="17" customFormat="false" ht="15" hidden="false" customHeight="false" outlineLevel="0" collapsed="false">
      <c r="A17" s="4" t="s">
        <v>28</v>
      </c>
      <c r="B17" s="5" t="n">
        <v>223384</v>
      </c>
      <c r="C17" s="5" t="n">
        <v>180652</v>
      </c>
      <c r="D17" s="6" t="n">
        <f aca="false">(B17-C17)/C17</f>
        <v>0.236543188007883</v>
      </c>
      <c r="E17" s="7" t="s">
        <v>29</v>
      </c>
    </row>
    <row r="18" customFormat="false" ht="15" hidden="false" customHeight="false" outlineLevel="0" collapsed="false">
      <c r="A18" s="4" t="s">
        <v>30</v>
      </c>
      <c r="B18" s="5" t="n">
        <v>149805</v>
      </c>
      <c r="C18" s="5" t="n">
        <v>154141</v>
      </c>
      <c r="D18" s="6" t="n">
        <f aca="false">(B18-C18)/C18</f>
        <v>-0.0281300886850351</v>
      </c>
      <c r="E18" s="7" t="s">
        <v>25</v>
      </c>
    </row>
    <row r="19" customFormat="false" ht="15" hidden="false" customHeight="false" outlineLevel="0" collapsed="false">
      <c r="A19" s="4" t="s">
        <v>31</v>
      </c>
      <c r="B19" s="5" t="n">
        <v>143689</v>
      </c>
      <c r="C19" s="5" t="n">
        <v>92762</v>
      </c>
      <c r="D19" s="6" t="n">
        <f aca="false">(B19-C19)/C19</f>
        <v>0.549007136542981</v>
      </c>
      <c r="E19" s="7" t="s">
        <v>32</v>
      </c>
    </row>
    <row r="20" customFormat="false" ht="15" hidden="false" customHeight="false" outlineLevel="0" collapsed="false">
      <c r="A20" s="4" t="s">
        <v>33</v>
      </c>
      <c r="B20" s="5" t="n">
        <v>92138</v>
      </c>
      <c r="C20" s="5" t="n">
        <v>92712</v>
      </c>
      <c r="D20" s="6" t="n">
        <f aca="false">(B20-C20)/C20</f>
        <v>-0.00619121580809388</v>
      </c>
      <c r="E20" s="7" t="s">
        <v>25</v>
      </c>
    </row>
    <row r="21" customFormat="false" ht="15" hidden="false" customHeight="false" outlineLevel="0" collapsed="false">
      <c r="A21" s="4" t="s">
        <v>34</v>
      </c>
      <c r="B21" s="5" t="n">
        <v>898301</v>
      </c>
      <c r="C21" s="5" t="n">
        <v>873903</v>
      </c>
      <c r="D21" s="6" t="n">
        <f aca="false">(B21-C21)/C21</f>
        <v>0.0279184303063383</v>
      </c>
      <c r="E21" s="7" t="s">
        <v>35</v>
      </c>
    </row>
    <row r="22" customFormat="false" ht="15" hidden="false" customHeight="false" outlineLevel="0" collapsed="false">
      <c r="A22" s="12" t="s">
        <v>36</v>
      </c>
      <c r="B22" s="13" t="n">
        <f aca="false">SUM(B12:B21)</f>
        <v>7218509</v>
      </c>
      <c r="C22" s="13" t="n">
        <f aca="false">SUM(C12:C21)</f>
        <v>6589430</v>
      </c>
      <c r="D22" s="14" t="n">
        <f aca="false">(B22-C22)/C22</f>
        <v>0.0954678932775673</v>
      </c>
      <c r="E22" s="12"/>
    </row>
    <row r="24" customFormat="false" ht="15" hidden="false" customHeight="false" outlineLevel="0" collapsed="false">
      <c r="A24" s="15" t="s">
        <v>37</v>
      </c>
      <c r="B24" s="15" t="s">
        <v>3</v>
      </c>
      <c r="C24" s="15" t="s">
        <v>4</v>
      </c>
      <c r="D24" s="15" t="s">
        <v>5</v>
      </c>
      <c r="E24" s="15" t="s">
        <v>38</v>
      </c>
    </row>
    <row r="25" customFormat="false" ht="15" hidden="false" customHeight="false" outlineLevel="0" collapsed="false">
      <c r="A25" s="4" t="s">
        <v>39</v>
      </c>
      <c r="B25" s="5" t="n">
        <v>984901</v>
      </c>
      <c r="C25" s="5" t="n">
        <v>1221758</v>
      </c>
      <c r="D25" s="6" t="n">
        <f aca="false">(B25-C25)/C25</f>
        <v>-0.193865724636139</v>
      </c>
      <c r="E25" s="7" t="s">
        <v>40</v>
      </c>
    </row>
    <row r="26" customFormat="false" ht="15" hidden="false" customHeight="false" outlineLevel="0" collapsed="false">
      <c r="A26" s="4" t="s">
        <v>41</v>
      </c>
      <c r="B26" s="5" t="n">
        <v>242805</v>
      </c>
      <c r="C26" s="5" t="n">
        <v>196502</v>
      </c>
      <c r="D26" s="6" t="n">
        <f aca="false">(B26-C26)/C26</f>
        <v>0.23563627851116</v>
      </c>
      <c r="E26" s="7" t="s">
        <v>42</v>
      </c>
    </row>
    <row r="27" customFormat="false" ht="15" hidden="false" customHeight="false" outlineLevel="0" collapsed="false">
      <c r="A27" s="4" t="s">
        <v>43</v>
      </c>
      <c r="B27" s="5" t="n">
        <v>199707</v>
      </c>
      <c r="C27" s="5" t="n">
        <v>208348</v>
      </c>
      <c r="D27" s="6" t="n">
        <f aca="false">(B27-C27)/C27</f>
        <v>-0.0414738802388312</v>
      </c>
      <c r="E27" s="7" t="s">
        <v>44</v>
      </c>
    </row>
    <row r="28" customFormat="false" ht="15" hidden="false" customHeight="false" outlineLevel="0" collapsed="false">
      <c r="A28" s="4" t="s">
        <v>45</v>
      </c>
      <c r="B28" s="5" t="n">
        <v>68658</v>
      </c>
      <c r="C28" s="5" t="n">
        <v>48000</v>
      </c>
      <c r="D28" s="6" t="n">
        <f aca="false">(B28-C28)/C28</f>
        <v>0.430375</v>
      </c>
      <c r="E28" s="7" t="s">
        <v>46</v>
      </c>
    </row>
    <row r="29" customFormat="false" ht="15" hidden="false" customHeight="false" outlineLevel="0" collapsed="false">
      <c r="A29" s="4" t="s">
        <v>47</v>
      </c>
      <c r="B29" s="5" t="n">
        <v>65085</v>
      </c>
      <c r="C29" s="5" t="n">
        <v>22720</v>
      </c>
      <c r="D29" s="6" t="n">
        <f aca="false">(B29-C29)/C29</f>
        <v>1.86465669014085</v>
      </c>
      <c r="E29" s="7" t="s">
        <v>48</v>
      </c>
    </row>
    <row r="30" customFormat="false" ht="15" hidden="false" customHeight="false" outlineLevel="0" collapsed="false">
      <c r="A30" s="4" t="s">
        <v>49</v>
      </c>
      <c r="B30" s="5" t="n">
        <v>54104</v>
      </c>
      <c r="C30" s="5" t="n">
        <v>61009</v>
      </c>
      <c r="D30" s="6" t="n">
        <f aca="false">(B30-C30)/C30</f>
        <v>-0.113180022619614</v>
      </c>
      <c r="E30" s="7" t="s">
        <v>50</v>
      </c>
    </row>
    <row r="31" customFormat="false" ht="15" hidden="false" customHeight="false" outlineLevel="0" collapsed="false">
      <c r="A31" s="4" t="s">
        <v>51</v>
      </c>
      <c r="B31" s="5" t="n">
        <v>32760</v>
      </c>
      <c r="C31" s="5" t="n">
        <v>40950</v>
      </c>
      <c r="D31" s="6" t="n">
        <f aca="false">(B31-C31)/C31</f>
        <v>-0.2</v>
      </c>
      <c r="E31" s="7" t="s">
        <v>52</v>
      </c>
    </row>
    <row r="32" customFormat="false" ht="15" hidden="false" customHeight="false" outlineLevel="0" collapsed="false">
      <c r="A32" s="4" t="s">
        <v>53</v>
      </c>
      <c r="B32" s="5" t="n">
        <v>18429</v>
      </c>
      <c r="C32" s="5" t="n">
        <v>8845</v>
      </c>
      <c r="D32" s="6" t="n">
        <f aca="false">(B32-C32)/C32</f>
        <v>1.08355002826456</v>
      </c>
      <c r="E32" s="7" t="s">
        <v>54</v>
      </c>
    </row>
    <row r="33" customFormat="false" ht="15" hidden="false" customHeight="false" outlineLevel="0" collapsed="false">
      <c r="A33" s="16" t="s">
        <v>55</v>
      </c>
      <c r="B33" s="17" t="n">
        <f aca="false">SUM(B25:B32)</f>
        <v>1666449</v>
      </c>
      <c r="C33" s="17" t="n">
        <f aca="false">SUM(C25:C32)</f>
        <v>1808132</v>
      </c>
      <c r="D33" s="18" t="n">
        <f aca="false">(B33-C33)/C33</f>
        <v>-0.0783587702667726</v>
      </c>
      <c r="E33" s="16"/>
    </row>
    <row r="35" customFormat="false" ht="15" hidden="false" customHeight="false" outlineLevel="0" collapsed="false">
      <c r="A35" s="19" t="s">
        <v>56</v>
      </c>
      <c r="B35" s="19" t="s">
        <v>3</v>
      </c>
      <c r="C35" s="19" t="s">
        <v>4</v>
      </c>
      <c r="D35" s="19" t="s">
        <v>57</v>
      </c>
      <c r="E35" s="19" t="s">
        <v>58</v>
      </c>
    </row>
    <row r="36" customFormat="false" ht="15" hidden="false" customHeight="false" outlineLevel="0" collapsed="false">
      <c r="A36" s="4" t="s">
        <v>59</v>
      </c>
      <c r="B36" s="5" t="n">
        <v>427358</v>
      </c>
      <c r="C36" s="5" t="n">
        <v>613118</v>
      </c>
      <c r="D36" s="5" t="n">
        <f aca="false">B36-C36</f>
        <v>-185760</v>
      </c>
      <c r="E36" s="7" t="s">
        <v>60</v>
      </c>
    </row>
    <row r="37" customFormat="false" ht="15" hidden="false" customHeight="false" outlineLevel="0" collapsed="false">
      <c r="A37" s="4" t="s">
        <v>61</v>
      </c>
      <c r="B37" s="5" t="n">
        <v>3732221</v>
      </c>
      <c r="C37" s="5" t="n">
        <v>2908491</v>
      </c>
      <c r="D37" s="5" t="n">
        <f aca="false">B37-C37</f>
        <v>823730</v>
      </c>
      <c r="E37" s="7" t="s">
        <v>62</v>
      </c>
    </row>
    <row r="38" customFormat="false" ht="15" hidden="false" customHeight="false" outlineLevel="0" collapsed="false">
      <c r="A38" s="4" t="s">
        <v>63</v>
      </c>
      <c r="B38" s="5" t="n">
        <v>3727439</v>
      </c>
      <c r="C38" s="5" t="n">
        <v>3208482</v>
      </c>
      <c r="D38" s="5" t="n">
        <f aca="false">B38-C38</f>
        <v>518957</v>
      </c>
      <c r="E38" s="7" t="s">
        <v>64</v>
      </c>
    </row>
    <row r="39" customFormat="false" ht="15" hidden="false" customHeight="false" outlineLevel="0" collapsed="false">
      <c r="A39" s="4" t="s">
        <v>65</v>
      </c>
      <c r="B39" s="5" t="n">
        <v>683309</v>
      </c>
      <c r="C39" s="5" t="n">
        <v>742789</v>
      </c>
      <c r="D39" s="5" t="n">
        <f aca="false">B39-C39</f>
        <v>-59480</v>
      </c>
      <c r="E39" s="7" t="s">
        <v>66</v>
      </c>
    </row>
    <row r="40" customFormat="false" ht="15" hidden="false" customHeight="false" outlineLevel="0" collapsed="false">
      <c r="A40" s="4" t="s">
        <v>67</v>
      </c>
      <c r="B40" s="5" t="n">
        <v>-62408</v>
      </c>
      <c r="C40" s="5" t="n">
        <v>-766475</v>
      </c>
      <c r="D40" s="5" t="n">
        <f aca="false">B40-C40</f>
        <v>704067</v>
      </c>
      <c r="E40" s="7" t="s">
        <v>68</v>
      </c>
    </row>
    <row r="41" customFormat="false" ht="15" hidden="false" customHeight="false" outlineLevel="0" collapsed="false">
      <c r="A41" s="4" t="s">
        <v>69</v>
      </c>
      <c r="B41" s="5" t="n">
        <v>7492679</v>
      </c>
      <c r="C41" s="5" t="n">
        <v>7065321</v>
      </c>
      <c r="D41" s="5" t="n">
        <f aca="false">B41-C41</f>
        <v>427358</v>
      </c>
      <c r="E41" s="7" t="s">
        <v>70</v>
      </c>
    </row>
    <row r="42" customFormat="false" ht="15" hidden="false" customHeight="false" outlineLevel="0" collapsed="false">
      <c r="A42" s="4" t="s">
        <v>71</v>
      </c>
      <c r="B42" s="5" t="n">
        <v>5598462</v>
      </c>
      <c r="C42" s="5" t="n">
        <v>5875171</v>
      </c>
      <c r="D42" s="5" t="n">
        <f aca="false">B42-C42</f>
        <v>-276709</v>
      </c>
      <c r="E42" s="7" t="s">
        <v>72</v>
      </c>
    </row>
    <row r="43" customFormat="false" ht="15" hidden="false" customHeight="false" outlineLevel="0" collapsed="false">
      <c r="A43" s="4" t="s">
        <v>73</v>
      </c>
      <c r="B43" s="5" t="n">
        <v>3370636</v>
      </c>
      <c r="C43" s="5" t="n">
        <v>3038128</v>
      </c>
      <c r="D43" s="5" t="n">
        <f aca="false">B43-C43</f>
        <v>332508</v>
      </c>
      <c r="E43" s="7" t="s">
        <v>74</v>
      </c>
    </row>
    <row r="44" customFormat="false" ht="15" hidden="false" customHeight="false" outlineLevel="0" collapsed="false">
      <c r="A44" s="4" t="s">
        <v>75</v>
      </c>
      <c r="B44" s="5" t="n">
        <v>51</v>
      </c>
      <c r="C44" s="5" t="n">
        <v>51</v>
      </c>
      <c r="D44" s="5" t="n">
        <f aca="false">B44-C44</f>
        <v>0</v>
      </c>
      <c r="E44" s="7" t="s">
        <v>76</v>
      </c>
    </row>
    <row r="45" customFormat="false" ht="15" hidden="false" customHeight="false" outlineLevel="0" collapsed="false">
      <c r="A45" s="4" t="s">
        <v>77</v>
      </c>
      <c r="B45" s="5" t="n">
        <v>369</v>
      </c>
      <c r="C45" s="5" t="n">
        <v>369</v>
      </c>
      <c r="D45" s="5" t="n">
        <f aca="false">B45-C45</f>
        <v>0</v>
      </c>
      <c r="E45" s="7" t="s">
        <v>78</v>
      </c>
    </row>
    <row r="47" customFormat="false" ht="15" hidden="false" customHeight="false" outlineLevel="0" collapsed="false">
      <c r="A47" s="20" t="s">
        <v>79</v>
      </c>
      <c r="B47" s="20" t="s">
        <v>80</v>
      </c>
      <c r="C47" s="20" t="s">
        <v>81</v>
      </c>
      <c r="D47" s="20"/>
      <c r="E47" s="20" t="s">
        <v>82</v>
      </c>
    </row>
    <row r="48" customFormat="false" ht="15" hidden="false" customHeight="false" outlineLevel="0" collapsed="false">
      <c r="A48" s="4" t="s">
        <v>83</v>
      </c>
      <c r="B48" s="5" t="n">
        <v>580863</v>
      </c>
      <c r="C48" s="21" t="s">
        <v>84</v>
      </c>
      <c r="E48" s="7" t="s">
        <v>85</v>
      </c>
    </row>
    <row r="49" customFormat="false" ht="15" hidden="false" customHeight="false" outlineLevel="0" collapsed="false">
      <c r="A49" s="4" t="s">
        <v>86</v>
      </c>
      <c r="B49" s="5" t="n">
        <v>286492</v>
      </c>
      <c r="C49" s="21" t="s">
        <v>84</v>
      </c>
      <c r="E49" s="7" t="s">
        <v>87</v>
      </c>
    </row>
    <row r="50" customFormat="false" ht="15" hidden="false" customHeight="false" outlineLevel="0" collapsed="false">
      <c r="A50" s="4" t="s">
        <v>88</v>
      </c>
      <c r="B50" s="5" t="n">
        <v>214460</v>
      </c>
      <c r="C50" s="21" t="s">
        <v>84</v>
      </c>
      <c r="E50" s="7" t="s">
        <v>89</v>
      </c>
    </row>
    <row r="51" customFormat="false" ht="15" hidden="false" customHeight="false" outlineLevel="0" collapsed="false">
      <c r="A51" s="4" t="s">
        <v>90</v>
      </c>
      <c r="B51" s="5" t="n">
        <v>213739</v>
      </c>
      <c r="C51" s="21" t="s">
        <v>91</v>
      </c>
      <c r="E51" s="7" t="s">
        <v>92</v>
      </c>
    </row>
    <row r="52" customFormat="false" ht="15" hidden="false" customHeight="false" outlineLevel="0" collapsed="false">
      <c r="A52" s="4" t="s">
        <v>93</v>
      </c>
      <c r="B52" s="5" t="n">
        <v>165061</v>
      </c>
      <c r="C52" s="21" t="s">
        <v>84</v>
      </c>
      <c r="E52" s="7" t="s">
        <v>94</v>
      </c>
    </row>
    <row r="54" customFormat="false" ht="15" hidden="false" customHeight="true" outlineLevel="0" collapsed="false">
      <c r="A54" s="22" t="s">
        <v>95</v>
      </c>
      <c r="B54" s="22"/>
      <c r="C54" s="22"/>
      <c r="D54" s="22"/>
      <c r="E54" s="22"/>
    </row>
    <row r="55" customFormat="false" ht="15" hidden="false" customHeight="true" outlineLevel="0" collapsed="false">
      <c r="A55" s="23" t="s">
        <v>96</v>
      </c>
      <c r="B55" s="23"/>
      <c r="C55" s="23"/>
      <c r="D55" s="23"/>
      <c r="E55" s="23"/>
    </row>
    <row r="56" customFormat="false" ht="15" hidden="false" customHeight="true" outlineLevel="0" collapsed="false">
      <c r="A56" s="24" t="s">
        <v>97</v>
      </c>
      <c r="B56" s="24"/>
      <c r="C56" s="24"/>
      <c r="D56" s="24"/>
      <c r="E56" s="24"/>
    </row>
    <row r="57" customFormat="false" ht="15" hidden="false" customHeight="true" outlineLevel="0" collapsed="false">
      <c r="A57" s="23" t="s">
        <v>98</v>
      </c>
      <c r="B57" s="23"/>
      <c r="C57" s="23"/>
      <c r="D57" s="23"/>
      <c r="E57" s="23"/>
    </row>
    <row r="58" customFormat="false" ht="15" hidden="false" customHeight="true" outlineLevel="0" collapsed="false">
      <c r="A58" s="24" t="s">
        <v>99</v>
      </c>
      <c r="B58" s="24"/>
      <c r="C58" s="24"/>
      <c r="D58" s="24"/>
      <c r="E58" s="24"/>
    </row>
    <row r="59" customFormat="false" ht="15" hidden="false" customHeight="true" outlineLevel="0" collapsed="false">
      <c r="A59" s="23" t="s">
        <v>100</v>
      </c>
      <c r="B59" s="23"/>
      <c r="C59" s="23"/>
      <c r="D59" s="23"/>
      <c r="E59" s="23"/>
    </row>
    <row r="60" customFormat="false" ht="15" hidden="false" customHeight="true" outlineLevel="0" collapsed="false">
      <c r="A60" s="24" t="s">
        <v>101</v>
      </c>
      <c r="B60" s="24"/>
      <c r="C60" s="24"/>
      <c r="D60" s="24"/>
      <c r="E60" s="24"/>
    </row>
    <row r="61" customFormat="false" ht="15" hidden="false" customHeight="true" outlineLevel="0" collapsed="false">
      <c r="A61" s="23" t="s">
        <v>102</v>
      </c>
      <c r="B61" s="23"/>
      <c r="C61" s="23"/>
      <c r="D61" s="23"/>
      <c r="E61" s="23"/>
    </row>
    <row r="62" customFormat="false" ht="15" hidden="false" customHeight="true" outlineLevel="0" collapsed="false">
      <c r="A62" s="24" t="s">
        <v>103</v>
      </c>
      <c r="B62" s="24"/>
      <c r="C62" s="24"/>
      <c r="D62" s="24"/>
      <c r="E62" s="24"/>
    </row>
  </sheetData>
  <mergeCells count="11">
    <mergeCell ref="A1:E1"/>
    <mergeCell ref="A2:E2"/>
    <mergeCell ref="A54:E54"/>
    <mergeCell ref="A55:E55"/>
    <mergeCell ref="A56:E56"/>
    <mergeCell ref="A57:E57"/>
    <mergeCell ref="A58:E58"/>
    <mergeCell ref="A59:E59"/>
    <mergeCell ref="A60:E60"/>
    <mergeCell ref="A61:E61"/>
    <mergeCell ref="A62:E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6"/>
    <col collapsed="false" customWidth="true" hidden="false" outlineLevel="0" max="6" min="6" style="0" width="35"/>
  </cols>
  <sheetData>
    <row r="1" customFormat="false" ht="17.35" hidden="false" customHeight="true" outlineLevel="0" collapsed="false">
      <c r="A1" s="25" t="s">
        <v>104</v>
      </c>
      <c r="B1" s="25"/>
      <c r="C1" s="25"/>
      <c r="D1" s="25"/>
      <c r="E1" s="25"/>
      <c r="F1" s="25"/>
    </row>
    <row r="2" customFormat="false" ht="15" hidden="false" customHeight="true" outlineLevel="0" collapsed="false">
      <c r="A2" s="26" t="s">
        <v>105</v>
      </c>
      <c r="B2" s="26"/>
      <c r="C2" s="26"/>
      <c r="D2" s="26"/>
      <c r="E2" s="26"/>
      <c r="F2" s="26"/>
    </row>
    <row r="4" customFormat="false" ht="15" hidden="false" customHeight="false" outlineLevel="0" collapsed="false">
      <c r="A4" s="27" t="s">
        <v>106</v>
      </c>
      <c r="B4" s="27" t="s">
        <v>107</v>
      </c>
      <c r="C4" s="27" t="s">
        <v>108</v>
      </c>
      <c r="D4" s="27" t="s">
        <v>109</v>
      </c>
      <c r="E4" s="27" t="s">
        <v>110</v>
      </c>
      <c r="F4" s="27" t="s">
        <v>111</v>
      </c>
    </row>
    <row r="5" customFormat="false" ht="15" hidden="false" customHeight="true" outlineLevel="0" collapsed="false">
      <c r="A5" s="28" t="s">
        <v>112</v>
      </c>
      <c r="B5" s="28"/>
      <c r="C5" s="28"/>
      <c r="D5" s="28"/>
      <c r="E5" s="28"/>
      <c r="F5" s="28"/>
    </row>
    <row r="6" customFormat="false" ht="15" hidden="false" customHeight="false" outlineLevel="0" collapsed="false">
      <c r="A6" s="4" t="s">
        <v>113</v>
      </c>
      <c r="B6" s="29" t="n">
        <v>18000</v>
      </c>
      <c r="C6" s="29" t="n">
        <f aca="false">B6*0.85</f>
        <v>15300</v>
      </c>
      <c r="D6" s="29" t="n">
        <f aca="false">B6*0.75</f>
        <v>13500</v>
      </c>
      <c r="E6" s="29" t="n">
        <v>2000</v>
      </c>
      <c r="F6" s="7" t="s">
        <v>114</v>
      </c>
    </row>
    <row r="7" customFormat="false" ht="15" hidden="false" customHeight="true" outlineLevel="0" collapsed="false">
      <c r="A7" s="30" t="s">
        <v>115</v>
      </c>
      <c r="B7" s="30"/>
      <c r="C7" s="30"/>
      <c r="D7" s="30"/>
      <c r="E7" s="30"/>
      <c r="F7" s="30"/>
    </row>
    <row r="8" customFormat="false" ht="22.35" hidden="false" customHeight="false" outlineLevel="0" collapsed="false">
      <c r="A8" s="4" t="s">
        <v>116</v>
      </c>
      <c r="B8" s="29" t="n">
        <v>10000</v>
      </c>
      <c r="C8" s="29" t="n">
        <f aca="false">B8*0.85</f>
        <v>8500</v>
      </c>
      <c r="D8" s="29" t="n">
        <f aca="false">B8*0.75</f>
        <v>7500</v>
      </c>
      <c r="E8" s="29" t="n">
        <v>600</v>
      </c>
      <c r="F8" s="31" t="s">
        <v>117</v>
      </c>
    </row>
    <row r="9" customFormat="false" ht="15" hidden="false" customHeight="true" outlineLevel="0" collapsed="false">
      <c r="A9" s="32" t="s">
        <v>118</v>
      </c>
      <c r="B9" s="32"/>
      <c r="C9" s="32"/>
      <c r="D9" s="32"/>
      <c r="E9" s="32"/>
      <c r="F9" s="32"/>
    </row>
    <row r="10" customFormat="false" ht="22.35" hidden="false" customHeight="false" outlineLevel="0" collapsed="false">
      <c r="A10" s="4" t="s">
        <v>119</v>
      </c>
      <c r="B10" s="29" t="n">
        <v>12000</v>
      </c>
      <c r="C10" s="29" t="n">
        <f aca="false">B10*0.85</f>
        <v>10200</v>
      </c>
      <c r="D10" s="29" t="n">
        <f aca="false">B10*0.75</f>
        <v>9000</v>
      </c>
      <c r="E10" s="29" t="n">
        <v>1200</v>
      </c>
      <c r="F10" s="7" t="s">
        <v>120</v>
      </c>
    </row>
    <row r="11" customFormat="false" ht="22.35" hidden="false" customHeight="false" outlineLevel="0" collapsed="false">
      <c r="A11" s="33" t="s">
        <v>121</v>
      </c>
      <c r="B11" s="34" t="s">
        <v>122</v>
      </c>
      <c r="C11" s="35" t="s">
        <v>122</v>
      </c>
      <c r="D11" s="35" t="s">
        <v>122</v>
      </c>
      <c r="E11" s="36" t="n">
        <v>0</v>
      </c>
      <c r="F11" s="37" t="s">
        <v>123</v>
      </c>
    </row>
    <row r="12" customFormat="false" ht="15" hidden="false" customHeight="true" outlineLevel="0" collapsed="false">
      <c r="A12" s="38" t="s">
        <v>124</v>
      </c>
      <c r="B12" s="38"/>
      <c r="C12" s="38"/>
      <c r="D12" s="38"/>
      <c r="E12" s="38"/>
      <c r="F12" s="38"/>
    </row>
    <row r="13" customFormat="false" ht="22.35" hidden="false" customHeight="false" outlineLevel="0" collapsed="false">
      <c r="A13" s="4" t="s">
        <v>125</v>
      </c>
      <c r="B13" s="29" t="n">
        <v>15000</v>
      </c>
      <c r="C13" s="29" t="n">
        <f aca="false">B13*0.85</f>
        <v>12750</v>
      </c>
      <c r="D13" s="29" t="n">
        <f aca="false">B13*0.75</f>
        <v>11250</v>
      </c>
      <c r="E13" s="29" t="n">
        <v>400</v>
      </c>
      <c r="F13" s="7" t="s">
        <v>126</v>
      </c>
    </row>
    <row r="15" customFormat="false" ht="15" hidden="false" customHeight="false" outlineLevel="0" collapsed="false">
      <c r="A15" s="39" t="s">
        <v>127</v>
      </c>
      <c r="B15" s="40" t="n">
        <f aca="false">B6+B8+B10+B13</f>
        <v>55000</v>
      </c>
      <c r="C15" s="40" t="n">
        <f aca="false">C6+C8+C10+C13</f>
        <v>46750</v>
      </c>
      <c r="D15" s="40" t="n">
        <f aca="false">D6+D8+D10+D13</f>
        <v>41250</v>
      </c>
      <c r="E15" s="40" t="n">
        <f aca="false">E6+E8+E10+E13</f>
        <v>4200</v>
      </c>
      <c r="F15" s="41" t="s">
        <v>128</v>
      </c>
    </row>
    <row r="16" customFormat="false" ht="15" hidden="false" customHeight="false" outlineLevel="0" collapsed="false">
      <c r="A16" s="42" t="s">
        <v>129</v>
      </c>
      <c r="B16" s="43"/>
      <c r="C16" s="43"/>
      <c r="D16" s="43"/>
      <c r="E16" s="44" t="n">
        <f aca="false">E6+E8+E10+E13</f>
        <v>4200</v>
      </c>
      <c r="F16" s="43"/>
    </row>
    <row r="17" customFormat="false" ht="26.85" hidden="false" customHeight="false" outlineLevel="0" collapsed="false">
      <c r="A17" s="45" t="s">
        <v>130</v>
      </c>
      <c r="B17" s="46" t="n">
        <f aca="false">B15+E16*12</f>
        <v>105400</v>
      </c>
      <c r="C17" s="47" t="n">
        <f aca="false">C15+E16*12</f>
        <v>97150</v>
      </c>
      <c r="D17" s="47" t="n">
        <f aca="false">D15+E16*12</f>
        <v>91650</v>
      </c>
      <c r="E17" s="48"/>
      <c r="F17" s="49" t="s">
        <v>131</v>
      </c>
    </row>
    <row r="19" customFormat="false" ht="15" hidden="false" customHeight="true" outlineLevel="0" collapsed="false">
      <c r="A19" s="50" t="s">
        <v>132</v>
      </c>
      <c r="B19" s="50"/>
      <c r="C19" s="50"/>
      <c r="D19" s="50"/>
      <c r="E19" s="50"/>
      <c r="F19" s="50"/>
    </row>
    <row r="20" customFormat="false" ht="23.85" hidden="false" customHeight="false" outlineLevel="0" collapsed="false">
      <c r="A20" s="4" t="s">
        <v>133</v>
      </c>
      <c r="B20" s="5" t="n">
        <f aca="false">242805*0.5</f>
        <v>121402.5</v>
      </c>
    </row>
    <row r="21" customFormat="false" ht="15" hidden="false" customHeight="false" outlineLevel="0" collapsed="false">
      <c r="A21" s="4" t="s">
        <v>134</v>
      </c>
      <c r="B21" s="5" t="n">
        <v>54104</v>
      </c>
    </row>
    <row r="22" customFormat="false" ht="23.85" hidden="false" customHeight="false" outlineLevel="0" collapsed="false">
      <c r="A22" s="4" t="s">
        <v>135</v>
      </c>
      <c r="B22" s="5" t="n">
        <f aca="false">10*50*52</f>
        <v>26000</v>
      </c>
    </row>
    <row r="23" customFormat="false" ht="15" hidden="false" customHeight="false" outlineLevel="0" collapsed="false">
      <c r="A23" s="8" t="s">
        <v>136</v>
      </c>
      <c r="B23" s="9" t="n">
        <f aca="false">SUM(B20:B22)</f>
        <v>201506.5</v>
      </c>
      <c r="C23" s="51"/>
      <c r="D23" s="51"/>
      <c r="E23" s="51"/>
      <c r="F23" s="51"/>
    </row>
    <row r="24" customFormat="false" ht="15" hidden="false" customHeight="false" outlineLevel="0" collapsed="false">
      <c r="A24" s="4" t="s">
        <v>137</v>
      </c>
      <c r="B24" s="5" t="n">
        <f aca="false">E16*12</f>
        <v>50400</v>
      </c>
    </row>
    <row r="25" customFormat="false" ht="15" hidden="false" customHeight="false" outlineLevel="0" collapsed="false">
      <c r="A25" s="8" t="s">
        <v>138</v>
      </c>
      <c r="B25" s="9" t="n">
        <f aca="false">B23-B24</f>
        <v>151106.5</v>
      </c>
      <c r="C25" s="51"/>
      <c r="D25" s="51"/>
      <c r="E25" s="51"/>
      <c r="F25" s="51"/>
    </row>
    <row r="26" customFormat="false" ht="15" hidden="false" customHeight="false" outlineLevel="0" collapsed="false">
      <c r="A26" s="52" t="s">
        <v>139</v>
      </c>
      <c r="B26" s="53" t="n">
        <f aca="false">B15/B23*12</f>
        <v>3.27532858741529</v>
      </c>
      <c r="C26" s="54"/>
      <c r="D26" s="54"/>
      <c r="E26" s="54"/>
      <c r="F26" s="54"/>
    </row>
    <row r="28" customFormat="false" ht="15" hidden="false" customHeight="true" outlineLevel="0" collapsed="false">
      <c r="A28" s="11" t="s">
        <v>140</v>
      </c>
      <c r="B28" s="11"/>
      <c r="C28" s="11"/>
      <c r="D28" s="11"/>
      <c r="E28" s="11"/>
      <c r="F28" s="11"/>
    </row>
    <row r="29" customFormat="false" ht="15" hidden="false" customHeight="true" outlineLevel="0" collapsed="false">
      <c r="A29" s="55" t="s">
        <v>141</v>
      </c>
      <c r="B29" s="55"/>
      <c r="C29" s="55"/>
      <c r="D29" s="55"/>
      <c r="E29" s="55"/>
      <c r="F29" s="55"/>
    </row>
    <row r="30" customFormat="false" ht="15" hidden="false" customHeight="true" outlineLevel="0" collapsed="false">
      <c r="A30" s="24" t="s">
        <v>142</v>
      </c>
      <c r="B30" s="24"/>
      <c r="C30" s="24"/>
      <c r="D30" s="24"/>
      <c r="E30" s="24"/>
      <c r="F30" s="24"/>
    </row>
    <row r="31" customFormat="false" ht="15" hidden="false" customHeight="true" outlineLevel="0" collapsed="false">
      <c r="A31" s="55" t="s">
        <v>143</v>
      </c>
      <c r="B31" s="55"/>
      <c r="C31" s="55"/>
      <c r="D31" s="55"/>
      <c r="E31" s="55"/>
      <c r="F31" s="55"/>
    </row>
    <row r="32" customFormat="false" ht="15" hidden="false" customHeight="true" outlineLevel="0" collapsed="false">
      <c r="A32" s="24" t="s">
        <v>144</v>
      </c>
      <c r="B32" s="24"/>
      <c r="C32" s="24"/>
      <c r="D32" s="24"/>
      <c r="E32" s="24"/>
      <c r="F32" s="24"/>
    </row>
    <row r="33" customFormat="false" ht="15" hidden="false" customHeight="true" outlineLevel="0" collapsed="false">
      <c r="A33" s="55" t="s">
        <v>145</v>
      </c>
      <c r="B33" s="55"/>
      <c r="C33" s="55"/>
      <c r="D33" s="55"/>
      <c r="E33" s="55"/>
      <c r="F33" s="55"/>
    </row>
    <row r="34" customFormat="false" ht="15" hidden="false" customHeight="true" outlineLevel="0" collapsed="false">
      <c r="A34" s="24" t="s">
        <v>146</v>
      </c>
      <c r="B34" s="24"/>
      <c r="C34" s="24"/>
      <c r="D34" s="24"/>
      <c r="E34" s="24"/>
      <c r="F34" s="24"/>
    </row>
    <row r="35" customFormat="false" ht="15" hidden="false" customHeight="true" outlineLevel="0" collapsed="false">
      <c r="A35" s="55" t="s">
        <v>147</v>
      </c>
      <c r="B35" s="55"/>
      <c r="C35" s="55"/>
      <c r="D35" s="55"/>
      <c r="E35" s="55"/>
      <c r="F35" s="55"/>
    </row>
  </sheetData>
  <mergeCells count="15">
    <mergeCell ref="A1:F1"/>
    <mergeCell ref="A2:F2"/>
    <mergeCell ref="A5:F5"/>
    <mergeCell ref="A7:F7"/>
    <mergeCell ref="A9:F9"/>
    <mergeCell ref="A12:F12"/>
    <mergeCell ref="A19:F19"/>
    <mergeCell ref="A28:F28"/>
    <mergeCell ref="A29:F29"/>
    <mergeCell ref="A30:F30"/>
    <mergeCell ref="A31:F31"/>
    <mergeCell ref="A32:F32"/>
    <mergeCell ref="A33:F33"/>
    <mergeCell ref="A34:F34"/>
    <mergeCell ref="A35:F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55"/>
    <col collapsed="false" customWidth="true" hidden="false" outlineLevel="0" max="4" min="4" style="0" width="35"/>
  </cols>
  <sheetData>
    <row r="1" customFormat="false" ht="17.35" hidden="false" customHeight="true" outlineLevel="0" collapsed="false">
      <c r="A1" s="1" t="s">
        <v>148</v>
      </c>
      <c r="B1" s="1"/>
      <c r="C1" s="1"/>
      <c r="D1" s="1"/>
    </row>
    <row r="2" customFormat="false" ht="15" hidden="false" customHeight="true" outlineLevel="0" collapsed="false">
      <c r="A2" s="56" t="s">
        <v>149</v>
      </c>
      <c r="B2" s="56"/>
      <c r="C2" s="56"/>
      <c r="D2" s="56"/>
    </row>
    <row r="3" customFormat="false" ht="15" hidden="false" customHeight="false" outlineLevel="0" collapsed="false">
      <c r="A3" s="27" t="s">
        <v>150</v>
      </c>
      <c r="B3" s="27" t="s">
        <v>151</v>
      </c>
      <c r="C3" s="27" t="s">
        <v>152</v>
      </c>
      <c r="D3" s="27" t="s">
        <v>153</v>
      </c>
    </row>
    <row r="4" customFormat="false" ht="60" hidden="false" customHeight="true" outlineLevel="0" collapsed="false">
      <c r="A4" s="57" t="s">
        <v>154</v>
      </c>
      <c r="B4" s="58" t="s">
        <v>155</v>
      </c>
      <c r="C4" s="59" t="s">
        <v>156</v>
      </c>
      <c r="D4" s="60" t="s">
        <v>157</v>
      </c>
    </row>
    <row r="5" customFormat="false" ht="60" hidden="false" customHeight="true" outlineLevel="0" collapsed="false">
      <c r="A5" s="61" t="s">
        <v>158</v>
      </c>
      <c r="B5" s="62" t="s">
        <v>159</v>
      </c>
      <c r="C5" s="63" t="s">
        <v>160</v>
      </c>
      <c r="D5" s="64" t="s">
        <v>161</v>
      </c>
    </row>
    <row r="6" customFormat="false" ht="60" hidden="false" customHeight="true" outlineLevel="0" collapsed="false">
      <c r="A6" s="57" t="s">
        <v>162</v>
      </c>
      <c r="B6" s="58" t="s">
        <v>163</v>
      </c>
      <c r="C6" s="59" t="s">
        <v>164</v>
      </c>
      <c r="D6" s="60" t="s">
        <v>165</v>
      </c>
    </row>
    <row r="7" customFormat="false" ht="60" hidden="false" customHeight="true" outlineLevel="0" collapsed="false">
      <c r="A7" s="61" t="s">
        <v>166</v>
      </c>
      <c r="B7" s="62" t="s">
        <v>167</v>
      </c>
      <c r="C7" s="63" t="s">
        <v>168</v>
      </c>
      <c r="D7" s="64" t="s">
        <v>169</v>
      </c>
    </row>
    <row r="8" customFormat="false" ht="60" hidden="false" customHeight="true" outlineLevel="0" collapsed="false">
      <c r="A8" s="57" t="s">
        <v>170</v>
      </c>
      <c r="B8" s="58" t="s">
        <v>171</v>
      </c>
      <c r="C8" s="59" t="s">
        <v>172</v>
      </c>
      <c r="D8" s="60" t="s">
        <v>173</v>
      </c>
    </row>
    <row r="9" customFormat="false" ht="60" hidden="false" customHeight="true" outlineLevel="0" collapsed="false">
      <c r="A9" s="61" t="s">
        <v>174</v>
      </c>
      <c r="B9" s="62" t="s">
        <v>175</v>
      </c>
      <c r="C9" s="63" t="s">
        <v>176</v>
      </c>
      <c r="D9" s="64" t="s">
        <v>177</v>
      </c>
    </row>
    <row r="10" customFormat="false" ht="60" hidden="false" customHeight="true" outlineLevel="0" collapsed="false">
      <c r="A10" s="57" t="s">
        <v>178</v>
      </c>
      <c r="B10" s="58" t="s">
        <v>179</v>
      </c>
      <c r="C10" s="59" t="s">
        <v>180</v>
      </c>
      <c r="D10" s="60" t="s">
        <v>181</v>
      </c>
    </row>
    <row r="11" customFormat="false" ht="60" hidden="false" customHeight="true" outlineLevel="0" collapsed="false">
      <c r="A11" s="61" t="s">
        <v>182</v>
      </c>
      <c r="B11" s="62" t="s">
        <v>183</v>
      </c>
      <c r="C11" s="63" t="s">
        <v>184</v>
      </c>
      <c r="D11" s="64" t="s">
        <v>185</v>
      </c>
    </row>
    <row r="12" customFormat="false" ht="60" hidden="false" customHeight="true" outlineLevel="0" collapsed="false">
      <c r="A12" s="57" t="s">
        <v>186</v>
      </c>
      <c r="B12" s="58" t="s">
        <v>187</v>
      </c>
      <c r="C12" s="59" t="s">
        <v>188</v>
      </c>
      <c r="D12" s="60" t="s">
        <v>189</v>
      </c>
    </row>
    <row r="13" customFormat="false" ht="60" hidden="false" customHeight="true" outlineLevel="0" collapsed="false">
      <c r="A13" s="61" t="s">
        <v>190</v>
      </c>
      <c r="B13" s="62" t="s">
        <v>191</v>
      </c>
      <c r="C13" s="63" t="s">
        <v>192</v>
      </c>
      <c r="D13" s="64" t="s">
        <v>193</v>
      </c>
    </row>
    <row r="14" customFormat="false" ht="79.5" hidden="false" customHeight="true" outlineLevel="0" collapsed="false">
      <c r="A14" s="57" t="s">
        <v>194</v>
      </c>
      <c r="B14" s="58" t="s">
        <v>195</v>
      </c>
      <c r="C14" s="59" t="s">
        <v>196</v>
      </c>
      <c r="D14" s="60" t="s">
        <v>197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2026-06-27T11:16:32Z</dcterms:created>
  <dc:creator>openpyxl</dc:creator>
  <dc:description/>
  <dc:language>en-US</dc:language>
  <cp:lastModifiedBy/>
  <dcterms:modified xsi:type="dcterms:W3CDTF">2026-06-27T11:16:32Z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