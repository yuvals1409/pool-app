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ניתוח כספי" sheetId="1" state="visible" r:id="rId3"/>
    <sheet name="מחירון פנימי" sheetId="2" state="visible" r:id="rId4"/>
    <sheet name="תסריט שיחה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<sst xmlns="http://schemas.openxmlformats.org/spreadsheetml/2006/main" count="122" uniqueCount="113">
  <si>
    <t xml:space="preserve">🔒 מסמך פנימי — ניתוח כספי מרכז ספורט נווה עוז — לפגישה 29/06/2026</t>
  </si>
  <si>
    <t xml:space="preserve">נתוני מפתח</t>
  </si>
  <si>
    <t xml:space="preserve">מדד</t>
  </si>
  <si>
    <t xml:space="preserve">2024</t>
  </si>
  <si>
    <t xml:space="preserve">2023</t>
  </si>
  <si>
    <t xml:space="preserve">שינוי %</t>
  </si>
  <si>
    <t xml:space="preserve">משמעות לפגישה</t>
  </si>
  <si>
    <t xml:space="preserve">מחזור שנתי</t>
  </si>
  <si>
    <t xml:space="preserve">ארגון עם 9.3M₪ — ההצעה שלך היא פחות מ-1%</t>
  </si>
  <si>
    <t xml:space="preserve">עודף נטו (רווח)</t>
  </si>
  <si>
    <t xml:space="preserve">ירידה ברווח! 30%- פחות. לחץ על המנכ"ל להראות שיפור</t>
  </si>
  <si>
    <t xml:space="preserve">שכר עבודה + נלוות</t>
  </si>
  <si>
    <t xml:space="preserve">עלייה של 17%! בית הספר לשחייה תורם לזה</t>
  </si>
  <si>
    <t xml:space="preserve">הוצאות פחת</t>
  </si>
  <si>
    <t xml:space="preserve">יציב — השקעה ברכוש קבוע</t>
  </si>
  <si>
    <t xml:space="preserve">הוצאות ישירות אחרות</t>
  </si>
  <si>
    <t xml:space="preserve">עלייה מתונה 3% — תפעולית בסדר</t>
  </si>
  <si>
    <t xml:space="preserve">הוצאות הנהלה וכלליות</t>
  </si>
  <si>
    <t xml:space="preserve">ירידה של 8%! המנכ"ל חוסך — סימן טוב</t>
  </si>
  <si>
    <t xml:space="preserve">פרסום ושיווק</t>
  </si>
  <si>
    <t xml:space="preserve">7,000₪/חודש ל-TC = 84,000₪/שנה מתוך זה</t>
  </si>
  <si>
    <t xml:space="preserve">עמלות בנק וכרטיסי אשראי</t>
  </si>
  <si>
    <t xml:space="preserve">סליקה דיגיטלית תחסוך חלק מזה</t>
  </si>
  <si>
    <t xml:space="preserve">משרדיות</t>
  </si>
  <si>
    <t xml:space="preserve">עלייה של 23%! טפסים דיגיטליים חוסכים כאן</t>
  </si>
  <si>
    <t xml:space="preserve">מזומנים בקופה</t>
  </si>
  <si>
    <t xml:space="preserve">יש להם כסף! 3.7M₪ — אין בעיית תקציב</t>
  </si>
  <si>
    <t xml:space="preserve">חברות אשראי והמחאות לגבייה</t>
  </si>
  <si>
    <t xml:space="preserve">גבייה בריאה — אבל ידנית</t>
  </si>
  <si>
    <t xml:space="preserve">הכנסות מראש (מנויים)</t>
  </si>
  <si>
    <t xml:space="preserve">גדלו 16% — לקוחות משלמים מראש</t>
  </si>
  <si>
    <t xml:space="preserve">הלוואות מחברים</t>
  </si>
  <si>
    <t xml:space="preserve">-</t>
  </si>
  <si>
    <t xml:space="preserve">נפרעו! 0 חוב מחברים — סימן חיובי</t>
  </si>
  <si>
    <t xml:space="preserve">מספר עובדים</t>
  </si>
  <si>
    <t xml:space="preserve">51 עובדים — ארגון בינוני-גדול</t>
  </si>
  <si>
    <t xml:space="preserve">מספר חברים</t>
  </si>
  <si>
    <t xml:space="preserve">369 חברים + 250-300 בביה"ס לשחייה</t>
  </si>
  <si>
    <t xml:space="preserve">חוזקות של הקאנטרי (אל תתקוף את אלה)</t>
  </si>
  <si>
    <t xml:space="preserve">מחזור יציב ועולה — 9.3M₪, עלייה שנתית</t>
  </si>
  <si>
    <t xml:space="preserve">3.7M₪ מזומנים בקופה — יש תקציב להשקעה</t>
  </si>
  <si>
    <t xml:space="preserve">הכנסות מראש גדלו 16% — לקוחות נאמנים</t>
  </si>
  <si>
    <t xml:space="preserve">הלוואות מחברים נפרעו — אין חוב פנימי</t>
  </si>
  <si>
    <t xml:space="preserve">הוצאות הנהלה ירדו 8% — המנכ"ל חוסך (תחמיא לו על זה!)</t>
  </si>
  <si>
    <t xml:space="preserve">חולשות של הקאנטרי (כאן נמצאת ההזדמנות שלך)</t>
  </si>
  <si>
    <t xml:space="preserve">רווח נטו ירד 30% (מ-613K ל-427K) — המנכ"ל תחת לחץ להראות שיפור</t>
  </si>
  <si>
    <t xml:space="preserve">שכר עבודה עלה 17% — מורן עובדת שעות נוספות על ניהול ידני?</t>
  </si>
  <si>
    <t xml:space="preserve">אין אישור ניהול תקין מ-2019 — חוסם סליקה רגילה</t>
  </si>
  <si>
    <t xml:space="preserve">משרדיות עלו 23% — נייר, טפסים, הדפסות? דיגיטציה חוסכת</t>
  </si>
  <si>
    <t xml:space="preserve">199K₪ על פרסום — 84K₪ מזה ל-Taking Control עם תוצאות חלשות</t>
  </si>
  <si>
    <t xml:space="preserve">ביה"ס לשחייה מנוהל בשיטסים — לא קשור למערכת הקאנטרי</t>
  </si>
  <si>
    <t xml:space="preserve">אין סליקה דיגיטלית — לקוחות חייבים להגיע פיזית לשלם</t>
  </si>
  <si>
    <t xml:space="preserve">🔒 מחירון פנימי — Stream Line — לעיניי יובל בלבד</t>
  </si>
  <si>
    <t xml:space="preserve">מוצר / שכבה</t>
  </si>
  <si>
    <t xml:space="preserve">מחיר רשימה</t>
  </si>
  <si>
    <t xml:space="preserve">מחיר אחרי 15%</t>
  </si>
  <si>
    <t xml:space="preserve">מחיר אחרי 25%</t>
  </si>
  <si>
    <t xml:space="preserve">רצפה (לא יורד!)</t>
  </si>
  <si>
    <t xml:space="preserve">טיעון מכירה</t>
  </si>
  <si>
    <t xml:space="preserve">שכבה 1 — מערכת CRM לבית ספר לשחייה</t>
  </si>
  <si>
    <t xml:space="preserve">הקמה חד-פעמית</t>
  </si>
  <si>
    <t xml:space="preserve">חודשי (תחזוקה+תמיכה)</t>
  </si>
  <si>
    <t xml:space="preserve">שכבה 2 — סליקה דיגיטלית (PayMe)</t>
  </si>
  <si>
    <t xml:space="preserve">חודשי</t>
  </si>
  <si>
    <t xml:space="preserve">שכבה 3 — WhatsApp Business AI Bot</t>
  </si>
  <si>
    <t xml:space="preserve">בונוס: דפי נחיתה</t>
  </si>
  <si>
    <t xml:space="preserve">כלול</t>
  </si>
  <si>
    <t xml:space="preserve">בונוס בחבילת WhatsApp. אל תתקוף TC! תגיד: 'הלידים מדפי הנחיתה לא מחוברים למערכת — כחלק מהחבילה אני בונה דפים מחוברים ישירות.'</t>
  </si>
  <si>
    <t xml:space="preserve">שכבה 4 — טפסים דיגיטליים</t>
  </si>
  <si>
    <t xml:space="preserve">הקמה חד-פעמית (חבילה)</t>
  </si>
  <si>
    <t xml:space="preserve">סיכום כולל</t>
  </si>
  <si>
    <t xml:space="preserve">סה"כ הקמה</t>
  </si>
  <si>
    <t xml:space="preserve">פחות מ-1% מהמחזור השנתי</t>
  </si>
  <si>
    <t xml:space="preserve">סה"כ חודשי</t>
  </si>
  <si>
    <t xml:space="preserve">פחות מעלות עובד במשרה מלאה</t>
  </si>
  <si>
    <t xml:space="preserve">סה"כ שנתי (הקמה+12 חודשים)</t>
  </si>
  <si>
    <t xml:space="preserve">🔒 תסריט שיחה — פגישה עם שי ומורן — יום ראשון 29/06 15:00</t>
  </si>
  <si>
    <t xml:space="preserve">שלב</t>
  </si>
  <si>
    <t xml:space="preserve">מה לומר / לעשות</t>
  </si>
  <si>
    <t xml:space="preserve">הערות ליובל</t>
  </si>
  <si>
    <t xml:space="preserve">פתיחה
(5 דק')</t>
  </si>
  <si>
    <t xml:space="preserve">"שי, מורן, תודה על ההזדמנות. לפני שאני מציג משהו — אני רוצה להבין טוב יותר מה עובד ומה לא בניהול בית הספר לשחייה היום."</t>
  </si>
  <si>
    <t xml:space="preserve">אל תפתח עם מצגת! תן להם לדבר. המטרה: שהם יגידו את הכאבים בקול.</t>
  </si>
  <si>
    <t xml:space="preserve">שאלות
(10 דק')</t>
  </si>
  <si>
    <t xml:space="preserve">1. "מורן, כמה זמן ביום את מקדישה לניהול בית הספר?"
2. "איך את מנהלת את הנתונים היום?"
3. "מה קורה כשלקוח רוצה לשלם — הוא חייב להגיע למשרד?"
4. "שי, יש תוכניות להגדיל את בית הספר?"</t>
  </si>
  <si>
    <t xml:space="preserve">שאלה 1 — מורן תגיד שהיא טובעת.
שאלה 3 — תיפתח הנושא של סליקה.
שאלה 4 — שי ירצה להראות שיש לו חזון.</t>
  </si>
  <si>
    <t xml:space="preserve">הצגת כאב
(5 דק')</t>
  </si>
  <si>
    <t xml:space="preserve">"אז אם אני מבין נכון — היום מורן מנהלת 250-300 תלמידים בשיטסים, כל לקוח פונה אליה ישירות, אי אפשר לסלוק דיגיטלית, ואין מערכת שעוטפת את בית הספר. נכון?"</t>
  </si>
  <si>
    <t xml:space="preserve">סכם את מה שהם אמרו. תן להם לאשר. זה יוצר 'כן' לפני ההצגה.</t>
  </si>
  <si>
    <t xml:space="preserve">הצגת פתרון
(15 דק')</t>
  </si>
  <si>
    <t xml:space="preserve">הראה דמו חי של המערכת:
- מערכת שעות
- פרופיל תלמיד
- נוכחות
- דוחות
"וכל זה מחובר. במקום 5 שיטסים שונים — מסך אחד."</t>
  </si>
  <si>
    <t xml:space="preserve">דמו חי &gt; מצגת. שי ומורן צריכים לראות את המערכת עובדת. תכין את הדמו מראש עם נתונים אמיתיים של ביה"ס.</t>
  </si>
  <si>
    <t xml:space="preserve">סליקה
(5 דק')</t>
  </si>
  <si>
    <t xml:space="preserve">"ויש עוד דבר. אני יודע שבגלל מצב הניהול התקין אי אפשר לסלוק דיגיטלית. מצאתי פתרון חוקי — דרך PayMe — שעוקף את הבעיה הזאת."</t>
  </si>
  <si>
    <t xml:space="preserve">זה הרגע הכי חזק שלך. פיזיקל לא יכולה לפתור את זה. אתה כן.</t>
  </si>
  <si>
    <t xml:space="preserve">WhatsApp
(5 דק')</t>
  </si>
  <si>
    <t xml:space="preserve">"ויש שכבה שלישית — חיבור לוואטסאפ עם בוט AI. לקוח שולח הודעה, הבוט עונה מיידית, רושם לקורס, שולח תזכורות. מורן לא צריכה לענות ל-80% מהפניות."</t>
  </si>
  <si>
    <t xml:space="preserve">תסתכל על מורן כשאתה אומר את זה. היא תרצה את זה.</t>
  </si>
  <si>
    <t xml:space="preserve">טפסים
(3 דק')</t>
  </si>
  <si>
    <t xml:space="preserve">"ובנוסף — כל הטפסים הפיזיים שלכם? הצהרות בריאות, ויתורים, רישומים? אני הופך אותם לדיגיטליים עם חתימה אלקטרונית. אין יותר ערימות נייר."</t>
  </si>
  <si>
    <t xml:space="preserve">תציין שזה חוסך משרדיות (242K₪ בשנה).</t>
  </si>
  <si>
    <t xml:space="preserve">תמחור
(5 דק')</t>
  </si>
  <si>
    <t xml:space="preserve">"אני מציע 4 שכבות — אפשר לקחת את כולן או לבחור. הנה המחירים:"
תציג את המחירון.
"סה"כ שנתי — פחות מ-1% מהמחזור שלכם. ופחות ממשכורת של עובד."</t>
  </si>
  <si>
    <t xml:space="preserve">אל תגיד את המחיר הכולל ראשון! תציג שכבה-שכבה. תן להם לבחור. אם שי רוצה הנחה — תיפול ל-15% מקסימום בפגישה ראשונה.</t>
  </si>
  <si>
    <t xml:space="preserve">התנגדויות
צפויות</t>
  </si>
  <si>
    <t xml:space="preserve">"יקר" → "כמה עולה לכם עובד נוסף? המערכת חוסכת שעות עבודה ומונעת אובדן לקוחות."
"יש לנו פיזיקל" → "אני לא מחליף את פיזיקל. אני עוטף את בית הספר לשחייה — מה שפיזיקל לא עושה."
"צריך לחשוב" → "בטח. אני אשאיר לכם סיכום. אבל כל יום שעובר בלי סליקה דיגיטלית — אתם מפסידים לקוחות."</t>
  </si>
  <si>
    <t xml:space="preserve">ההתנגדות הכי סבירה היא 'יקר'. תמיד תחזיר לערך, לא למחיר.</t>
  </si>
  <si>
    <t xml:space="preserve">סגירה
(5 דק')</t>
  </si>
  <si>
    <t xml:space="preserve">"שי, מורן — מה אתם חושבים? איזו שכבה הכי דחופה לכם?"
אל תלחץ לסגור הכל היום.
אם שי אומר 'נתקדם' — תציע להתחיל עם שכבה 1+2.</t>
  </si>
  <si>
    <t xml:space="preserve">המטרה: לצאת עם 'כן' לפחות על שכבה 1. אם גם 2 — מעולה. 3 ו-4 יבואו אחרי.</t>
  </si>
  <si>
    <t xml:space="preserve">נקודה
אסטרטגית</t>
  </si>
  <si>
    <t xml:space="preserve">שי רוצה להראות שהוא טוב מהמנכ"ל הקודם. תן לו לראות שדיגיטציה של בית הספר לשחייה זו ההחלטה שתיזכר כשלו. "זה מהלך שהמנכ"ל הקודם לא עשה — ואתה יכול להיות הראשון שמביא את בית הספר לשחייה לעידן הדיגיטלי."</t>
  </si>
  <si>
    <t xml:space="preserve">אל תגיד את זה ישירות — תרמוז. שי צריך להרגיש שזה הרעיון שלו.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</si>
</sst>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&quot; ₪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C5F8A"/>
        <bgColor rgb="FF4472C4"/>
      </patternFill>
    </fill>
    <fill>
      <patternFill patternType="solid">
        <fgColor rgb="FFD6E4F0"/>
        <bgColor rgb="FFC6EFCE"/>
      </patternFill>
    </fill>
    <fill>
      <patternFill patternType="solid">
        <fgColor rgb="FFFFFFCC"/>
        <bgColor rgb="FFFFFFFF"/>
      </patternFill>
    </fill>
    <fill>
      <patternFill patternType="solid">
        <fgColor rgb="FF006100"/>
        <bgColor rgb="FF003300"/>
      </patternFill>
    </fill>
    <fill>
      <patternFill patternType="solid">
        <fgColor rgb="FFC6EFCE"/>
        <bgColor rgb="FFD6E4F0"/>
      </patternFill>
    </fill>
    <fill>
      <patternFill patternType="solid">
        <fgColor rgb="FF9C0006"/>
        <bgColor rgb="FF800000"/>
      </patternFill>
    </fill>
    <fill>
      <patternFill patternType="solid">
        <fgColor rgb="FFFFC7CE"/>
        <bgColor rgb="FFF4B084"/>
      </patternFill>
    </fill>
    <fill>
      <patternFill patternType="solid">
        <fgColor rgb="FFF4B084"/>
        <bgColor rgb="FFFFC7CE"/>
      </patternFill>
    </fill>
    <fill>
      <patternFill patternType="solid">
        <fgColor rgb="FF4472C4"/>
        <bgColor rgb="FF2C5F8A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7030A0"/>
        <bgColor rgb="FF99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2C5F8A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4B084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18"/>
    <col collapsed="false" customWidth="true" hidden="false" outlineLevel="0" max="4" min="4" style="1" width="15"/>
    <col collapsed="false" customWidth="true" hidden="false" outlineLevel="0" max="5" min="5" style="1" width="4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  <c r="B5" s="6" t="n">
        <v>9305244</v>
      </c>
      <c r="C5" s="6" t="n">
        <v>9094555</v>
      </c>
      <c r="D5" s="7" t="n">
        <f aca="false">(B5-C5)/C5</f>
        <v>0.0231664990755458</v>
      </c>
      <c r="E5" s="8" t="s">
        <v>8</v>
      </c>
    </row>
    <row r="6" customFormat="false" ht="15" hidden="false" customHeight="true" outlineLevel="0" collapsed="false">
      <c r="A6" s="5" t="s">
        <v>9</v>
      </c>
      <c r="B6" s="6" t="n">
        <v>427358</v>
      </c>
      <c r="C6" s="6" t="n">
        <v>613118</v>
      </c>
      <c r="D6" s="7" t="n">
        <f aca="false">(B6-C6)/C6</f>
        <v>-0.302975936116702</v>
      </c>
      <c r="E6" s="8" t="s">
        <v>10</v>
      </c>
    </row>
    <row r="7" customFormat="false" ht="15" hidden="false" customHeight="true" outlineLevel="0" collapsed="false">
      <c r="A7" s="5" t="s">
        <v>11</v>
      </c>
      <c r="B7" s="6" t="n">
        <v>3474459</v>
      </c>
      <c r="C7" s="6" t="n">
        <v>2961483</v>
      </c>
      <c r="D7" s="7" t="n">
        <f aca="false">(B7-C7)/C7</f>
        <v>0.173215919186435</v>
      </c>
      <c r="E7" s="8" t="s">
        <v>12</v>
      </c>
    </row>
    <row r="8" customFormat="false" ht="15" hidden="false" customHeight="true" outlineLevel="0" collapsed="false">
      <c r="A8" s="9" t="s">
        <v>13</v>
      </c>
      <c r="B8" s="6" t="n">
        <v>898301</v>
      </c>
      <c r="C8" s="6" t="n">
        <v>873903</v>
      </c>
      <c r="D8" s="7" t="n">
        <f aca="false">(B8-C8)/C8</f>
        <v>0.0279184303063383</v>
      </c>
      <c r="E8" s="9" t="s">
        <v>14</v>
      </c>
    </row>
    <row r="9" customFormat="false" ht="15" hidden="false" customHeight="true" outlineLevel="0" collapsed="false">
      <c r="A9" s="9" t="s">
        <v>15</v>
      </c>
      <c r="B9" s="6" t="n">
        <v>2936501</v>
      </c>
      <c r="C9" s="6" t="n">
        <v>2847139</v>
      </c>
      <c r="D9" s="7" t="n">
        <f aca="false">(B9-C9)/C9</f>
        <v>0.0313865954559999</v>
      </c>
      <c r="E9" s="9" t="s">
        <v>16</v>
      </c>
    </row>
    <row r="10" customFormat="false" ht="15" hidden="false" customHeight="true" outlineLevel="0" collapsed="false">
      <c r="A10" s="9" t="s">
        <v>17</v>
      </c>
      <c r="B10" s="6" t="n">
        <v>1666449</v>
      </c>
      <c r="C10" s="6" t="n">
        <v>1808132</v>
      </c>
      <c r="D10" s="7" t="n">
        <f aca="false">(B10-C10)/C10</f>
        <v>-0.0783587702667726</v>
      </c>
      <c r="E10" s="9" t="s">
        <v>18</v>
      </c>
    </row>
    <row r="11" customFormat="false" ht="15" hidden="false" customHeight="true" outlineLevel="0" collapsed="false">
      <c r="A11" s="9" t="s">
        <v>19</v>
      </c>
      <c r="B11" s="6" t="n">
        <v>199707</v>
      </c>
      <c r="C11" s="6" t="n">
        <v>208348</v>
      </c>
      <c r="D11" s="7" t="n">
        <f aca="false">(B11-C11)/C11</f>
        <v>-0.0414738802388312</v>
      </c>
      <c r="E11" s="9" t="s">
        <v>20</v>
      </c>
    </row>
    <row r="12" customFormat="false" ht="15" hidden="false" customHeight="true" outlineLevel="0" collapsed="false">
      <c r="A12" s="9" t="s">
        <v>21</v>
      </c>
      <c r="B12" s="6" t="n">
        <v>54104</v>
      </c>
      <c r="C12" s="6" t="n">
        <v>61009</v>
      </c>
      <c r="D12" s="7" t="n">
        <f aca="false">(B12-C12)/C12</f>
        <v>-0.113180022619614</v>
      </c>
      <c r="E12" s="9" t="s">
        <v>22</v>
      </c>
    </row>
    <row r="13" customFormat="false" ht="15" hidden="false" customHeight="true" outlineLevel="0" collapsed="false">
      <c r="A13" s="9" t="s">
        <v>23</v>
      </c>
      <c r="B13" s="6" t="n">
        <v>242805</v>
      </c>
      <c r="C13" s="6" t="n">
        <v>196502</v>
      </c>
      <c r="D13" s="7" t="n">
        <f aca="false">(B13-C13)/C13</f>
        <v>0.23563627851116</v>
      </c>
      <c r="E13" s="9" t="s">
        <v>24</v>
      </c>
    </row>
    <row r="14" customFormat="false" ht="15" hidden="false" customHeight="true" outlineLevel="0" collapsed="false">
      <c r="A14" s="9" t="s">
        <v>25</v>
      </c>
      <c r="B14" s="6" t="n">
        <v>3732221</v>
      </c>
      <c r="C14" s="6" t="n">
        <v>2908491</v>
      </c>
      <c r="D14" s="7" t="n">
        <f aca="false">(B14-C14)/C14</f>
        <v>0.283215591865335</v>
      </c>
      <c r="E14" s="9" t="s">
        <v>26</v>
      </c>
    </row>
    <row r="15" customFormat="false" ht="15" hidden="false" customHeight="true" outlineLevel="0" collapsed="false">
      <c r="A15" s="9" t="s">
        <v>27</v>
      </c>
      <c r="B15" s="6" t="n">
        <v>3617157</v>
      </c>
      <c r="C15" s="6" t="n">
        <v>3303689</v>
      </c>
      <c r="D15" s="7" t="n">
        <f aca="false">(B15-C15)/C15</f>
        <v>0.0948842339578574</v>
      </c>
      <c r="E15" s="9" t="s">
        <v>28</v>
      </c>
    </row>
    <row r="16" customFormat="false" ht="15" hidden="false" customHeight="true" outlineLevel="0" collapsed="false">
      <c r="A16" s="9" t="s">
        <v>29</v>
      </c>
      <c r="B16" s="6" t="n">
        <v>3727439</v>
      </c>
      <c r="C16" s="6" t="n">
        <v>3208482</v>
      </c>
      <c r="D16" s="7" t="n">
        <f aca="false">(B16-C16)/C16</f>
        <v>0.161745336268054</v>
      </c>
      <c r="E16" s="9" t="s">
        <v>30</v>
      </c>
    </row>
    <row r="17" customFormat="false" ht="15" hidden="false" customHeight="true" outlineLevel="0" collapsed="false">
      <c r="A17" s="9" t="s">
        <v>31</v>
      </c>
      <c r="B17" s="6" t="n">
        <v>0</v>
      </c>
      <c r="C17" s="6" t="n">
        <v>343718</v>
      </c>
      <c r="D17" s="10" t="s">
        <v>32</v>
      </c>
      <c r="E17" s="9" t="s">
        <v>33</v>
      </c>
    </row>
    <row r="18" customFormat="false" ht="15" hidden="false" customHeight="true" outlineLevel="0" collapsed="false">
      <c r="A18" s="9" t="s">
        <v>34</v>
      </c>
      <c r="B18" s="6" t="n">
        <v>51</v>
      </c>
      <c r="C18" s="6"/>
      <c r="D18" s="10" t="s">
        <v>32</v>
      </c>
      <c r="E18" s="9" t="s">
        <v>35</v>
      </c>
    </row>
    <row r="19" customFormat="false" ht="15" hidden="false" customHeight="true" outlineLevel="0" collapsed="false">
      <c r="A19" s="9" t="s">
        <v>36</v>
      </c>
      <c r="B19" s="6" t="n">
        <v>369</v>
      </c>
      <c r="C19" s="6"/>
      <c r="D19" s="10" t="s">
        <v>32</v>
      </c>
      <c r="E19" s="9" t="s">
        <v>37</v>
      </c>
    </row>
    <row r="22" customFormat="false" ht="15" hidden="false" customHeight="true" outlineLevel="0" collapsed="false">
      <c r="A22" s="11" t="s">
        <v>38</v>
      </c>
      <c r="B22" s="11"/>
      <c r="C22" s="11"/>
      <c r="D22" s="11"/>
      <c r="E22" s="11"/>
    </row>
    <row r="23" customFormat="false" ht="15" hidden="false" customHeight="true" outlineLevel="0" collapsed="false">
      <c r="A23" s="12" t="s">
        <v>39</v>
      </c>
      <c r="B23" s="12"/>
      <c r="C23" s="12"/>
      <c r="D23" s="12"/>
      <c r="E23" s="12"/>
    </row>
    <row r="24" customFormat="false" ht="15" hidden="false" customHeight="true" outlineLevel="0" collapsed="false">
      <c r="A24" s="12" t="s">
        <v>40</v>
      </c>
      <c r="B24" s="12"/>
      <c r="C24" s="12"/>
      <c r="D24" s="12"/>
      <c r="E24" s="12"/>
    </row>
    <row r="25" customFormat="false" ht="15" hidden="false" customHeight="true" outlineLevel="0" collapsed="false">
      <c r="A25" s="12" t="s">
        <v>41</v>
      </c>
      <c r="B25" s="12"/>
      <c r="C25" s="12"/>
      <c r="D25" s="12"/>
      <c r="E25" s="12"/>
    </row>
    <row r="26" customFormat="false" ht="15" hidden="false" customHeight="true" outlineLevel="0" collapsed="false">
      <c r="A26" s="12" t="s">
        <v>42</v>
      </c>
      <c r="B26" s="12"/>
      <c r="C26" s="12"/>
      <c r="D26" s="12"/>
      <c r="E26" s="12"/>
    </row>
    <row r="27" customFormat="false" ht="15" hidden="false" customHeight="true" outlineLevel="0" collapsed="false">
      <c r="A27" s="12" t="s">
        <v>43</v>
      </c>
      <c r="B27" s="12"/>
      <c r="C27" s="12"/>
      <c r="D27" s="12"/>
      <c r="E27" s="12"/>
    </row>
    <row r="28" customFormat="false" ht="15" hidden="false" customHeight="true" outlineLevel="0" collapsed="false">
      <c r="A28" s="13" t="s">
        <v>44</v>
      </c>
      <c r="B28" s="13"/>
      <c r="C28" s="13"/>
      <c r="D28" s="13"/>
      <c r="E28" s="13"/>
    </row>
    <row r="29" customFormat="false" ht="15" hidden="false" customHeight="true" outlineLevel="0" collapsed="false">
      <c r="A29" s="14" t="s">
        <v>45</v>
      </c>
      <c r="B29" s="14"/>
      <c r="C29" s="14"/>
      <c r="D29" s="14"/>
      <c r="E29" s="14"/>
    </row>
    <row r="30" customFormat="false" ht="15" hidden="false" customHeight="true" outlineLevel="0" collapsed="false">
      <c r="A30" s="14" t="s">
        <v>46</v>
      </c>
      <c r="B30" s="14"/>
      <c r="C30" s="14"/>
      <c r="D30" s="14"/>
      <c r="E30" s="14"/>
    </row>
    <row r="31" customFormat="false" ht="15" hidden="false" customHeight="true" outlineLevel="0" collapsed="false">
      <c r="A31" s="14" t="s">
        <v>47</v>
      </c>
      <c r="B31" s="14"/>
      <c r="C31" s="14"/>
      <c r="D31" s="14"/>
      <c r="E31" s="14"/>
    </row>
    <row r="32" customFormat="false" ht="15" hidden="false" customHeight="true" outlineLevel="0" collapsed="false">
      <c r="A32" s="14" t="s">
        <v>48</v>
      </c>
      <c r="B32" s="14"/>
      <c r="C32" s="14"/>
      <c r="D32" s="14"/>
      <c r="E32" s="14"/>
    </row>
    <row r="33" customFormat="false" ht="15" hidden="false" customHeight="true" outlineLevel="0" collapsed="false">
      <c r="A33" s="14" t="s">
        <v>49</v>
      </c>
      <c r="B33" s="14"/>
      <c r="C33" s="14"/>
      <c r="D33" s="14"/>
      <c r="E33" s="14"/>
    </row>
    <row r="34" customFormat="false" ht="15" hidden="false" customHeight="true" outlineLevel="0" collapsed="false">
      <c r="A34" s="14" t="s">
        <v>50</v>
      </c>
      <c r="B34" s="14"/>
      <c r="C34" s="14"/>
      <c r="D34" s="14"/>
      <c r="E34" s="14"/>
    </row>
    <row r="35" customFormat="false" ht="15" hidden="false" customHeight="true" outlineLevel="0" collapsed="false">
      <c r="A35" s="14" t="s">
        <v>51</v>
      </c>
      <c r="B35" s="14"/>
      <c r="C35" s="14"/>
      <c r="D35" s="14"/>
      <c r="E35" s="14"/>
    </row>
  </sheetData>
  <mergeCells count="16">
    <mergeCell ref="A1:E1"/>
    <mergeCell ref="A3:E3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5" min="2" style="1" width="18"/>
    <col collapsed="false" customWidth="true" hidden="false" outlineLevel="0" max="6" min="6" style="1" width="40"/>
  </cols>
  <sheetData>
    <row r="1" customFormat="false" ht="19.5" hidden="false" customHeight="true" outlineLevel="0" collapsed="false">
      <c r="A1" s="2" t="s">
        <v>52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5" t="s">
        <v>53</v>
      </c>
      <c r="B3" s="15" t="s">
        <v>54</v>
      </c>
      <c r="C3" s="15" t="s">
        <v>55</v>
      </c>
      <c r="D3" s="15" t="s">
        <v>56</v>
      </c>
      <c r="E3" s="15" t="s">
        <v>57</v>
      </c>
      <c r="F3" s="16" t="s">
        <v>58</v>
      </c>
    </row>
    <row r="5" customFormat="false" ht="15" hidden="false" customHeight="true" outlineLevel="0" collapsed="false">
      <c r="A5" s="17" t="s">
        <v>59</v>
      </c>
      <c r="B5" s="17"/>
      <c r="C5" s="17"/>
      <c r="D5" s="17"/>
      <c r="E5" s="17"/>
      <c r="F5" s="17"/>
    </row>
    <row r="6" customFormat="false" ht="15" hidden="false" customHeight="true" outlineLevel="0" collapsed="false">
      <c r="A6" s="5" t="s">
        <v>60</v>
      </c>
      <c r="B6" s="18" t="n">
        <v>18000</v>
      </c>
      <c r="C6" s="19" t="n">
        <f aca="false">B6*0.85</f>
        <v>15300</v>
      </c>
      <c r="D6" s="19" t="n">
        <f aca="false">B6*0.75</f>
        <v>13500</v>
      </c>
      <c r="E6" s="20" t="n">
        <v>12600</v>
      </c>
      <c r="F6" s="8"/>
    </row>
    <row r="7" customFormat="false" ht="15" hidden="false" customHeight="true" outlineLevel="0" collapsed="false">
      <c r="A7" s="5" t="s">
        <v>61</v>
      </c>
      <c r="B7" s="18" t="n">
        <v>2000</v>
      </c>
      <c r="C7" s="19" t="n">
        <f aca="false">B7*0.85</f>
        <v>1700</v>
      </c>
      <c r="D7" s="19" t="n">
        <f aca="false">B7*0.75</f>
        <v>1500</v>
      </c>
      <c r="E7" s="20" t="n">
        <v>1400</v>
      </c>
      <c r="F7" s="8"/>
    </row>
    <row r="9" customFormat="false" ht="15" hidden="false" customHeight="true" outlineLevel="0" collapsed="false">
      <c r="A9" s="21" t="s">
        <v>62</v>
      </c>
      <c r="B9" s="21"/>
      <c r="C9" s="21"/>
      <c r="D9" s="21"/>
      <c r="E9" s="21"/>
      <c r="F9" s="21"/>
    </row>
    <row r="10" customFormat="false" ht="15" hidden="false" customHeight="true" outlineLevel="0" collapsed="false">
      <c r="A10" s="5" t="s">
        <v>60</v>
      </c>
      <c r="B10" s="18" t="n">
        <v>10000</v>
      </c>
      <c r="C10" s="19" t="n">
        <f aca="false">B10*0.85</f>
        <v>8500</v>
      </c>
      <c r="D10" s="19" t="n">
        <f aca="false">B10*0.75</f>
        <v>7500</v>
      </c>
      <c r="E10" s="20" t="n">
        <v>7000</v>
      </c>
      <c r="F10" s="8"/>
    </row>
    <row r="11" customFormat="false" ht="15" hidden="false" customHeight="true" outlineLevel="0" collapsed="false">
      <c r="A11" s="5" t="s">
        <v>63</v>
      </c>
      <c r="B11" s="18" t="n">
        <v>600</v>
      </c>
      <c r="C11" s="19" t="n">
        <f aca="false">B11*0.85</f>
        <v>510</v>
      </c>
      <c r="D11" s="19" t="n">
        <f aca="false">B11*0.75</f>
        <v>450</v>
      </c>
      <c r="E11" s="20" t="n">
        <v>420</v>
      </c>
      <c r="F11" s="8"/>
    </row>
    <row r="13" customFormat="false" ht="15" hidden="false" customHeight="true" outlineLevel="0" collapsed="false">
      <c r="A13" s="22" t="s">
        <v>64</v>
      </c>
      <c r="B13" s="22"/>
      <c r="C13" s="22"/>
      <c r="D13" s="22"/>
      <c r="E13" s="22"/>
      <c r="F13" s="22"/>
    </row>
    <row r="14" customFormat="false" ht="15" hidden="false" customHeight="true" outlineLevel="0" collapsed="false">
      <c r="A14" s="5" t="s">
        <v>60</v>
      </c>
      <c r="B14" s="18" t="n">
        <v>12000</v>
      </c>
      <c r="C14" s="19" t="n">
        <f aca="false">B14*0.85</f>
        <v>10200</v>
      </c>
      <c r="D14" s="19" t="n">
        <f aca="false">B14*0.75</f>
        <v>9000</v>
      </c>
      <c r="E14" s="20" t="n">
        <v>8400</v>
      </c>
      <c r="F14" s="8"/>
    </row>
    <row r="15" customFormat="false" ht="15" hidden="false" customHeight="true" outlineLevel="0" collapsed="false">
      <c r="A15" s="5" t="s">
        <v>63</v>
      </c>
      <c r="B15" s="18" t="n">
        <v>1200</v>
      </c>
      <c r="C15" s="19" t="n">
        <f aca="false">B15*0.85</f>
        <v>1020</v>
      </c>
      <c r="D15" s="19" t="n">
        <f aca="false">B15*0.75</f>
        <v>900</v>
      </c>
      <c r="E15" s="20" t="n">
        <v>840</v>
      </c>
      <c r="F15" s="8"/>
    </row>
    <row r="16" customFormat="false" ht="35.05" hidden="false" customHeight="false" outlineLevel="0" collapsed="false">
      <c r="A16" s="23" t="s">
        <v>65</v>
      </c>
      <c r="B16" s="24" t="s">
        <v>66</v>
      </c>
      <c r="C16" s="24" t="s">
        <v>66</v>
      </c>
      <c r="D16" s="24" t="s">
        <v>66</v>
      </c>
      <c r="E16" s="24" t="s">
        <v>66</v>
      </c>
      <c r="F16" s="8" t="s">
        <v>67</v>
      </c>
    </row>
    <row r="17" customFormat="false" ht="15" hidden="false" customHeight="true" outlineLevel="0" collapsed="false">
      <c r="A17" s="25"/>
      <c r="B17" s="25"/>
      <c r="C17" s="25"/>
      <c r="D17" s="25"/>
      <c r="E17" s="25"/>
      <c r="F17" s="25"/>
    </row>
    <row r="18" customFormat="false" ht="15" hidden="false" customHeight="true" outlineLevel="0" collapsed="false">
      <c r="A18" s="26" t="s">
        <v>68</v>
      </c>
      <c r="B18" s="27"/>
      <c r="C18" s="27"/>
      <c r="D18" s="27"/>
      <c r="E18" s="27"/>
      <c r="F18" s="28"/>
    </row>
    <row r="19" customFormat="false" ht="15" hidden="false" customHeight="true" outlineLevel="0" collapsed="false">
      <c r="A19" s="5" t="s">
        <v>69</v>
      </c>
      <c r="B19" s="18" t="n">
        <v>15000</v>
      </c>
      <c r="C19" s="19" t="n">
        <f aca="false">B18*0.85</f>
        <v>0</v>
      </c>
      <c r="D19" s="19" t="n">
        <f aca="false">B18*0.75</f>
        <v>0</v>
      </c>
      <c r="E19" s="20" t="n">
        <v>10500</v>
      </c>
      <c r="F19" s="8"/>
    </row>
    <row r="20" customFormat="false" ht="15" hidden="false" customHeight="false" outlineLevel="0" collapsed="false">
      <c r="A20" s="5" t="s">
        <v>63</v>
      </c>
      <c r="B20" s="18" t="n">
        <v>400</v>
      </c>
      <c r="C20" s="19" t="n">
        <f aca="false">B19*0.85</f>
        <v>12750</v>
      </c>
      <c r="D20" s="19" t="n">
        <f aca="false">B19*0.75</f>
        <v>11250</v>
      </c>
      <c r="E20" s="20" t="n">
        <v>280</v>
      </c>
      <c r="F20" s="8"/>
    </row>
    <row r="21" customFormat="false" ht="15" hidden="false" customHeight="true" outlineLevel="0" collapsed="false">
      <c r="A21" s="25"/>
      <c r="B21" s="25"/>
      <c r="C21" s="25"/>
      <c r="D21" s="25"/>
      <c r="E21" s="25"/>
      <c r="F21" s="25"/>
    </row>
    <row r="22" customFormat="false" ht="15" hidden="false" customHeight="true" outlineLevel="0" collapsed="false">
      <c r="A22" s="29" t="s">
        <v>70</v>
      </c>
      <c r="B22" s="27"/>
      <c r="C22" s="27"/>
      <c r="D22" s="27"/>
      <c r="E22" s="27"/>
      <c r="F22" s="28"/>
    </row>
    <row r="23" customFormat="false" ht="15" hidden="false" customHeight="true" outlineLevel="0" collapsed="false">
      <c r="A23" s="30" t="s">
        <v>71</v>
      </c>
      <c r="B23" s="31" t="n">
        <f aca="false">B6+B10+B14+B18</f>
        <v>40000</v>
      </c>
      <c r="C23" s="32" t="n">
        <f aca="false">C6+C10+C14+C18</f>
        <v>34000</v>
      </c>
      <c r="D23" s="32" t="n">
        <f aca="false">D6+D10+D14+D18</f>
        <v>30000</v>
      </c>
      <c r="E23" s="33"/>
      <c r="F23" s="34" t="s">
        <v>72</v>
      </c>
    </row>
    <row r="24" customFormat="false" ht="23.25" hidden="false" customHeight="true" outlineLevel="0" collapsed="false">
      <c r="A24" s="30" t="s">
        <v>73</v>
      </c>
      <c r="B24" s="31" t="n">
        <f aca="false">B7+B11+B15+B19</f>
        <v>18800</v>
      </c>
      <c r="C24" s="32" t="n">
        <f aca="false">C7+C11+C15+C19</f>
        <v>3230</v>
      </c>
      <c r="D24" s="32" t="n">
        <f aca="false">D7+D11+D15+D19</f>
        <v>2850</v>
      </c>
      <c r="E24" s="33"/>
      <c r="F24" s="34" t="s">
        <v>74</v>
      </c>
    </row>
    <row r="25" customFormat="false" ht="23.85" hidden="false" customHeight="false" outlineLevel="0" collapsed="false">
      <c r="A25" s="35" t="s">
        <v>75</v>
      </c>
      <c r="B25" s="36" t="n">
        <f aca="false">B22+B23*12</f>
        <v>480000</v>
      </c>
      <c r="C25" s="37" t="n">
        <f aca="false">C22+C23*12</f>
        <v>408000</v>
      </c>
      <c r="D25" s="37" t="n">
        <f aca="false">D22+D23*12</f>
        <v>360000</v>
      </c>
      <c r="E25" s="38"/>
      <c r="F25" s="38"/>
    </row>
  </sheetData>
  <mergeCells count="6">
    <mergeCell ref="A1:F1"/>
    <mergeCell ref="A5:F5"/>
    <mergeCell ref="A9:F9"/>
    <mergeCell ref="A13:F13"/>
    <mergeCell ref="A17:F17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55"/>
    <col collapsed="false" customWidth="true" hidden="false" outlineLevel="0" max="3" min="3" style="1" width="40"/>
  </cols>
  <sheetData>
    <row r="1" customFormat="false" ht="19.5" hidden="false" customHeight="true" outlineLevel="0" collapsed="false">
      <c r="A1" s="2" t="s">
        <v>76</v>
      </c>
      <c r="B1" s="2"/>
      <c r="C1" s="2"/>
    </row>
    <row r="3" customFormat="false" ht="15" hidden="false" customHeight="true" outlineLevel="0" collapsed="false">
      <c r="A3" s="15" t="s">
        <v>77</v>
      </c>
      <c r="B3" s="15" t="s">
        <v>78</v>
      </c>
      <c r="C3" s="15" t="s">
        <v>79</v>
      </c>
    </row>
    <row r="4" customFormat="false" ht="84.75" hidden="false" customHeight="true" outlineLevel="0" collapsed="false">
      <c r="A4" s="4" t="s">
        <v>80</v>
      </c>
      <c r="B4" s="9" t="s">
        <v>81</v>
      </c>
      <c r="C4" s="39" t="s">
        <v>82</v>
      </c>
    </row>
    <row r="5" customFormat="false" ht="84.75" hidden="false" customHeight="true" outlineLevel="0" collapsed="false">
      <c r="A5" s="4" t="s">
        <v>83</v>
      </c>
      <c r="B5" s="9" t="s">
        <v>84</v>
      </c>
      <c r="C5" s="39" t="s">
        <v>85</v>
      </c>
    </row>
    <row r="6" customFormat="false" ht="84.75" hidden="false" customHeight="true" outlineLevel="0" collapsed="false">
      <c r="A6" s="4" t="s">
        <v>86</v>
      </c>
      <c r="B6" s="9" t="s">
        <v>87</v>
      </c>
      <c r="C6" s="39" t="s">
        <v>88</v>
      </c>
    </row>
    <row r="7" customFormat="false" ht="84.75" hidden="false" customHeight="true" outlineLevel="0" collapsed="false">
      <c r="A7" s="4" t="s">
        <v>89</v>
      </c>
      <c r="B7" s="8" t="s">
        <v>90</v>
      </c>
      <c r="C7" s="39" t="s">
        <v>91</v>
      </c>
    </row>
    <row r="8" customFormat="false" ht="84.75" hidden="false" customHeight="true" outlineLevel="0" collapsed="false">
      <c r="A8" s="4" t="s">
        <v>92</v>
      </c>
      <c r="B8" s="8" t="s">
        <v>93</v>
      </c>
      <c r="C8" s="39" t="s">
        <v>94</v>
      </c>
    </row>
    <row r="9" customFormat="false" ht="84.75" hidden="false" customHeight="true" outlineLevel="0" collapsed="false">
      <c r="A9" s="4" t="s">
        <v>95</v>
      </c>
      <c r="B9" s="9" t="s">
        <v>96</v>
      </c>
      <c r="C9" s="39" t="s">
        <v>97</v>
      </c>
    </row>
    <row r="10" customFormat="false" ht="84.75" hidden="false" customHeight="true" outlineLevel="0" collapsed="false">
      <c r="A10" s="4" t="s">
        <v>98</v>
      </c>
      <c r="B10" s="9" t="s">
        <v>99</v>
      </c>
      <c r="C10" s="39" t="s">
        <v>100</v>
      </c>
    </row>
    <row r="11" customFormat="false" ht="84.75" hidden="false" customHeight="true" outlineLevel="0" collapsed="false">
      <c r="A11" s="4" t="s">
        <v>101</v>
      </c>
      <c r="B11" s="9" t="s">
        <v>102</v>
      </c>
      <c r="C11" s="39" t="s">
        <v>103</v>
      </c>
    </row>
    <row r="12" customFormat="false" ht="84.75" hidden="false" customHeight="true" outlineLevel="0" collapsed="false">
      <c r="A12" s="4" t="s">
        <v>104</v>
      </c>
      <c r="B12" s="9" t="s">
        <v>105</v>
      </c>
      <c r="C12" s="39" t="s">
        <v>106</v>
      </c>
    </row>
    <row r="13" customFormat="false" ht="84.75" hidden="false" customHeight="true" outlineLevel="0" collapsed="false">
      <c r="A13" s="4" t="s">
        <v>107</v>
      </c>
      <c r="B13" s="40" t="s">
        <v>108</v>
      </c>
      <c r="C13" s="39" t="s">
        <v>109</v>
      </c>
    </row>
    <row r="14" customFormat="false" ht="84.75" hidden="false" customHeight="true" outlineLevel="0" collapsed="false">
      <c r="A14" s="4" t="s">
        <v>110</v>
      </c>
      <c r="B14" s="9" t="s">
        <v>111</v>
      </c>
      <c r="C14" s="39" t="s">
        <v>112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2026-06-26T05:25:56Z</dcterms:created>
  <dc:creator>openpyxl</dc:creator>
  <dc:description/>
  <dc:language>en-US</dc:language>
  <cp:lastModifiedBy/>
  <dcterms:modified xsi:type="dcterms:W3CDTF">2026-06-26T06:30:44Z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